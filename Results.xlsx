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idasandbaek/Documents/"/>
    </mc:Choice>
  </mc:AlternateContent>
  <xr:revisionPtr revIDLastSave="0" documentId="13_ncr:1_{32FDFBA9-58DA-D347-BB16-FDDC9DD177A7}" xr6:coauthVersionLast="47" xr6:coauthVersionMax="47" xr10:uidLastSave="{00000000-0000-0000-0000-000000000000}"/>
  <bookViews>
    <workbookView xWindow="11620" yWindow="920" windowWidth="17620" windowHeight="16900" xr2:uid="{15542E5A-18FC-604B-BE11-9AB13274ED57}"/>
  </bookViews>
  <sheets>
    <sheet name="ALNS" sheetId="1" r:id="rId1"/>
    <sheet name="Gurobi" sheetId="2" r:id="rId2"/>
    <sheet name="PFB" sheetId="3" r:id="rId3"/>
    <sheet name="Comparison" sheetId="4" r:id="rId4"/>
    <sheet name="Impact of Weather" sheetId="5" r:id="rId5"/>
  </sheets>
  <externalReferences>
    <externalReference r:id="rId6"/>
  </externalReferenc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58" i="4" l="1"/>
  <c r="H37" i="4"/>
  <c r="G37" i="4"/>
  <c r="H18" i="4"/>
  <c r="F520" i="4"/>
  <c r="M617" i="4" s="1"/>
  <c r="E520" i="4"/>
  <c r="L617" i="4" s="1"/>
  <c r="D520" i="4"/>
  <c r="K617" i="4" s="1"/>
  <c r="C520" i="4"/>
  <c r="J617" i="4" s="1"/>
  <c r="F519" i="4"/>
  <c r="M604" i="4" s="1"/>
  <c r="E519" i="4"/>
  <c r="L604" i="4" s="1"/>
  <c r="D519" i="4"/>
  <c r="K604" i="4" s="1"/>
  <c r="C519" i="4"/>
  <c r="J604" i="4" s="1"/>
  <c r="F518" i="4"/>
  <c r="M591" i="4" s="1"/>
  <c r="E518" i="4"/>
  <c r="L591" i="4" s="1"/>
  <c r="D518" i="4"/>
  <c r="K591" i="4" s="1"/>
  <c r="C518" i="4"/>
  <c r="J591" i="4" s="1"/>
  <c r="F516" i="4"/>
  <c r="E516" i="4"/>
  <c r="D516" i="4"/>
  <c r="C516" i="4"/>
  <c r="F515" i="4"/>
  <c r="E515" i="4"/>
  <c r="D515" i="4"/>
  <c r="C515" i="4"/>
  <c r="H514" i="4"/>
  <c r="G514" i="4"/>
  <c r="F514" i="4"/>
  <c r="E514" i="4"/>
  <c r="D514" i="4"/>
  <c r="C514" i="4"/>
  <c r="H513" i="4"/>
  <c r="G513" i="4"/>
  <c r="F513" i="4"/>
  <c r="E513" i="4"/>
  <c r="D513" i="4"/>
  <c r="C513" i="4"/>
  <c r="I513" i="4" s="1"/>
  <c r="L512" i="4"/>
  <c r="K512" i="4"/>
  <c r="H512" i="4"/>
  <c r="G512" i="4"/>
  <c r="F512" i="4"/>
  <c r="E512" i="4"/>
  <c r="D512" i="4"/>
  <c r="C512" i="4"/>
  <c r="L511" i="4"/>
  <c r="K511" i="4"/>
  <c r="H511" i="4"/>
  <c r="G511" i="4"/>
  <c r="F511" i="4"/>
  <c r="E511" i="4"/>
  <c r="D511" i="4"/>
  <c r="C511" i="4"/>
  <c r="M510" i="4"/>
  <c r="L510" i="4"/>
  <c r="K510" i="4"/>
  <c r="H510" i="4"/>
  <c r="G510" i="4"/>
  <c r="F510" i="4"/>
  <c r="J510" i="4" s="1"/>
  <c r="E510" i="4"/>
  <c r="D510" i="4"/>
  <c r="C510" i="4"/>
  <c r="M509" i="4"/>
  <c r="L509" i="4"/>
  <c r="K509" i="4"/>
  <c r="H509" i="4"/>
  <c r="G509" i="4"/>
  <c r="F509" i="4"/>
  <c r="O509" i="4" s="1"/>
  <c r="E509" i="4"/>
  <c r="D509" i="4"/>
  <c r="C509" i="4"/>
  <c r="N509" i="4" s="1"/>
  <c r="L508" i="4"/>
  <c r="K508" i="4"/>
  <c r="H508" i="4"/>
  <c r="G508" i="4"/>
  <c r="F508" i="4"/>
  <c r="E508" i="4"/>
  <c r="D508" i="4"/>
  <c r="C508" i="4"/>
  <c r="M507" i="4"/>
  <c r="L507" i="4"/>
  <c r="K507" i="4"/>
  <c r="H507" i="4"/>
  <c r="G507" i="4"/>
  <c r="F507" i="4"/>
  <c r="E507" i="4"/>
  <c r="D507" i="4"/>
  <c r="C507" i="4"/>
  <c r="N507" i="4" s="1"/>
  <c r="F505" i="4"/>
  <c r="E505" i="4"/>
  <c r="D505" i="4"/>
  <c r="C505" i="4"/>
  <c r="F504" i="4"/>
  <c r="E504" i="4"/>
  <c r="D504" i="4"/>
  <c r="C504" i="4"/>
  <c r="H503" i="4"/>
  <c r="G503" i="4"/>
  <c r="F503" i="4"/>
  <c r="E503" i="4"/>
  <c r="D503" i="4"/>
  <c r="C503" i="4"/>
  <c r="H502" i="4"/>
  <c r="G502" i="4"/>
  <c r="F502" i="4"/>
  <c r="E502" i="4"/>
  <c r="D502" i="4"/>
  <c r="C502" i="4"/>
  <c r="I502" i="4" s="1"/>
  <c r="L501" i="4"/>
  <c r="O501" i="4" s="1"/>
  <c r="K501" i="4"/>
  <c r="H501" i="4"/>
  <c r="G501" i="4"/>
  <c r="F501" i="4"/>
  <c r="E501" i="4"/>
  <c r="D501" i="4"/>
  <c r="C501" i="4"/>
  <c r="L500" i="4"/>
  <c r="K500" i="4"/>
  <c r="H500" i="4"/>
  <c r="J500" i="4" s="1"/>
  <c r="G500" i="4"/>
  <c r="F500" i="4"/>
  <c r="E500" i="4"/>
  <c r="D500" i="4"/>
  <c r="C500" i="4"/>
  <c r="M499" i="4"/>
  <c r="L499" i="4"/>
  <c r="K499" i="4"/>
  <c r="H499" i="4"/>
  <c r="G499" i="4"/>
  <c r="F499" i="4"/>
  <c r="O499" i="4" s="1"/>
  <c r="E499" i="4"/>
  <c r="D499" i="4"/>
  <c r="C499" i="4"/>
  <c r="M498" i="4"/>
  <c r="L498" i="4"/>
  <c r="O498" i="4" s="1"/>
  <c r="K498" i="4"/>
  <c r="H498" i="4"/>
  <c r="G498" i="4"/>
  <c r="I498" i="4" s="1"/>
  <c r="F498" i="4"/>
  <c r="E498" i="4"/>
  <c r="D498" i="4"/>
  <c r="C498" i="4"/>
  <c r="M497" i="4"/>
  <c r="L497" i="4"/>
  <c r="K497" i="4"/>
  <c r="H497" i="4"/>
  <c r="G497" i="4"/>
  <c r="I497" i="4" s="1"/>
  <c r="F497" i="4"/>
  <c r="E497" i="4"/>
  <c r="D497" i="4"/>
  <c r="C497" i="4"/>
  <c r="M496" i="4"/>
  <c r="L496" i="4"/>
  <c r="K496" i="4"/>
  <c r="H496" i="4"/>
  <c r="G496" i="4"/>
  <c r="I496" i="4" s="1"/>
  <c r="F496" i="4"/>
  <c r="O496" i="4" s="1"/>
  <c r="E496" i="4"/>
  <c r="D496" i="4"/>
  <c r="C496" i="4"/>
  <c r="L494" i="4"/>
  <c r="K494" i="4"/>
  <c r="F494" i="4"/>
  <c r="O494" i="4" s="1"/>
  <c r="E494" i="4"/>
  <c r="D494" i="4"/>
  <c r="C494" i="4"/>
  <c r="M493" i="4"/>
  <c r="L493" i="4"/>
  <c r="K493" i="4"/>
  <c r="F493" i="4"/>
  <c r="E493" i="4"/>
  <c r="D493" i="4"/>
  <c r="C493" i="4"/>
  <c r="N493" i="4" s="1"/>
  <c r="M492" i="4"/>
  <c r="L492" i="4"/>
  <c r="K492" i="4"/>
  <c r="N492" i="4" s="1"/>
  <c r="H492" i="4"/>
  <c r="G492" i="4"/>
  <c r="F492" i="4"/>
  <c r="E492" i="4"/>
  <c r="D492" i="4"/>
  <c r="C492" i="4"/>
  <c r="M491" i="4"/>
  <c r="L491" i="4"/>
  <c r="K491" i="4"/>
  <c r="H491" i="4"/>
  <c r="G491" i="4"/>
  <c r="F491" i="4"/>
  <c r="E491" i="4"/>
  <c r="D491" i="4"/>
  <c r="C491" i="4"/>
  <c r="M490" i="4"/>
  <c r="L490" i="4"/>
  <c r="K490" i="4"/>
  <c r="H490" i="4"/>
  <c r="G490" i="4"/>
  <c r="F490" i="4"/>
  <c r="E490" i="4"/>
  <c r="D490" i="4"/>
  <c r="C490" i="4"/>
  <c r="M489" i="4"/>
  <c r="L489" i="4"/>
  <c r="K489" i="4"/>
  <c r="H489" i="4"/>
  <c r="G489" i="4"/>
  <c r="F489" i="4"/>
  <c r="J489" i="4" s="1"/>
  <c r="E489" i="4"/>
  <c r="D489" i="4"/>
  <c r="C489" i="4"/>
  <c r="M488" i="4"/>
  <c r="L488" i="4"/>
  <c r="K488" i="4"/>
  <c r="H488" i="4"/>
  <c r="G488" i="4"/>
  <c r="F488" i="4"/>
  <c r="E488" i="4"/>
  <c r="D488" i="4"/>
  <c r="C488" i="4"/>
  <c r="M487" i="4"/>
  <c r="L487" i="4"/>
  <c r="K487" i="4"/>
  <c r="H487" i="4"/>
  <c r="G487" i="4"/>
  <c r="F487" i="4"/>
  <c r="O487" i="4" s="1"/>
  <c r="E487" i="4"/>
  <c r="D487" i="4"/>
  <c r="C487" i="4"/>
  <c r="M486" i="4"/>
  <c r="L486" i="4"/>
  <c r="K486" i="4"/>
  <c r="H486" i="4"/>
  <c r="G486" i="4"/>
  <c r="F486" i="4"/>
  <c r="E486" i="4"/>
  <c r="D486" i="4"/>
  <c r="C486" i="4"/>
  <c r="M485" i="4"/>
  <c r="L485" i="4"/>
  <c r="K485" i="4"/>
  <c r="H485" i="4"/>
  <c r="G485" i="4"/>
  <c r="F485" i="4"/>
  <c r="E485" i="4"/>
  <c r="D485" i="4"/>
  <c r="C485" i="4"/>
  <c r="N485" i="4" s="1"/>
  <c r="F483" i="4"/>
  <c r="E483" i="4"/>
  <c r="D483" i="4"/>
  <c r="C483" i="4"/>
  <c r="F482" i="4"/>
  <c r="E482" i="4"/>
  <c r="D482" i="4"/>
  <c r="C482" i="4"/>
  <c r="H481" i="4"/>
  <c r="G481" i="4"/>
  <c r="F481" i="4"/>
  <c r="E481" i="4"/>
  <c r="D481" i="4"/>
  <c r="C481" i="4"/>
  <c r="H480" i="4"/>
  <c r="G480" i="4"/>
  <c r="F480" i="4"/>
  <c r="J480" i="4" s="1"/>
  <c r="E480" i="4"/>
  <c r="D480" i="4"/>
  <c r="C480" i="4"/>
  <c r="L479" i="4"/>
  <c r="K479" i="4"/>
  <c r="H479" i="4"/>
  <c r="G479" i="4"/>
  <c r="F479" i="4"/>
  <c r="E479" i="4"/>
  <c r="D479" i="4"/>
  <c r="C479" i="4"/>
  <c r="I479" i="4" s="1"/>
  <c r="L478" i="4"/>
  <c r="K478" i="4"/>
  <c r="H478" i="4"/>
  <c r="G478" i="4"/>
  <c r="F478" i="4"/>
  <c r="E478" i="4"/>
  <c r="D478" i="4"/>
  <c r="C478" i="4"/>
  <c r="M477" i="4"/>
  <c r="L477" i="4"/>
  <c r="O477" i="4" s="1"/>
  <c r="K477" i="4"/>
  <c r="H477" i="4"/>
  <c r="G477" i="4"/>
  <c r="F477" i="4"/>
  <c r="E477" i="4"/>
  <c r="D477" i="4"/>
  <c r="C477" i="4"/>
  <c r="I477" i="4" s="1"/>
  <c r="M476" i="4"/>
  <c r="L476" i="4"/>
  <c r="K476" i="4"/>
  <c r="N476" i="4" s="1"/>
  <c r="H476" i="4"/>
  <c r="G476" i="4"/>
  <c r="F476" i="4"/>
  <c r="E476" i="4"/>
  <c r="D476" i="4"/>
  <c r="C476" i="4"/>
  <c r="M475" i="4"/>
  <c r="L475" i="4"/>
  <c r="O475" i="4" s="1"/>
  <c r="K475" i="4"/>
  <c r="I475" i="4"/>
  <c r="H475" i="4"/>
  <c r="J475" i="4" s="1"/>
  <c r="G475" i="4"/>
  <c r="F475" i="4"/>
  <c r="E475" i="4"/>
  <c r="D475" i="4"/>
  <c r="C475" i="4"/>
  <c r="M474" i="4"/>
  <c r="L474" i="4"/>
  <c r="K474" i="4"/>
  <c r="H474" i="4"/>
  <c r="G474" i="4"/>
  <c r="F474" i="4"/>
  <c r="E474" i="4"/>
  <c r="D474" i="4"/>
  <c r="C474" i="4"/>
  <c r="F472" i="4"/>
  <c r="E472" i="4"/>
  <c r="D472" i="4"/>
  <c r="C472" i="4"/>
  <c r="L471" i="4"/>
  <c r="K471" i="4"/>
  <c r="F471" i="4"/>
  <c r="E471" i="4"/>
  <c r="D471" i="4"/>
  <c r="C471" i="4"/>
  <c r="M470" i="4"/>
  <c r="D601" i="4" s="1"/>
  <c r="L470" i="4"/>
  <c r="E601" i="4" s="1"/>
  <c r="K470" i="4"/>
  <c r="C601" i="4" s="1"/>
  <c r="H470" i="4"/>
  <c r="G470" i="4"/>
  <c r="F470" i="4"/>
  <c r="E470" i="4"/>
  <c r="D470" i="4"/>
  <c r="C470" i="4"/>
  <c r="M469" i="4"/>
  <c r="L469" i="4"/>
  <c r="K469" i="4"/>
  <c r="H469" i="4"/>
  <c r="G469" i="4"/>
  <c r="F469" i="4"/>
  <c r="O469" i="4" s="1"/>
  <c r="E469" i="4"/>
  <c r="D469" i="4"/>
  <c r="C469" i="4"/>
  <c r="L468" i="4"/>
  <c r="K468" i="4"/>
  <c r="H468" i="4"/>
  <c r="G468" i="4"/>
  <c r="F468" i="4"/>
  <c r="O468" i="4" s="1"/>
  <c r="E468" i="4"/>
  <c r="D468" i="4"/>
  <c r="C468" i="4"/>
  <c r="M467" i="4"/>
  <c r="L467" i="4"/>
  <c r="K467" i="4"/>
  <c r="H467" i="4"/>
  <c r="G467" i="4"/>
  <c r="I467" i="4" s="1"/>
  <c r="F467" i="4"/>
  <c r="J467" i="4" s="1"/>
  <c r="E467" i="4"/>
  <c r="D467" i="4"/>
  <c r="C467" i="4"/>
  <c r="N467" i="4" s="1"/>
  <c r="M466" i="4"/>
  <c r="L466" i="4"/>
  <c r="K466" i="4"/>
  <c r="H466" i="4"/>
  <c r="G466" i="4"/>
  <c r="F466" i="4"/>
  <c r="J466" i="4" s="1"/>
  <c r="E466" i="4"/>
  <c r="D466" i="4"/>
  <c r="C466" i="4"/>
  <c r="M465" i="4"/>
  <c r="L465" i="4"/>
  <c r="K465" i="4"/>
  <c r="H465" i="4"/>
  <c r="G465" i="4"/>
  <c r="F465" i="4"/>
  <c r="O465" i="4" s="1"/>
  <c r="E465" i="4"/>
  <c r="D465" i="4"/>
  <c r="C465" i="4"/>
  <c r="M464" i="4"/>
  <c r="L464" i="4"/>
  <c r="K464" i="4"/>
  <c r="H464" i="4"/>
  <c r="G464" i="4"/>
  <c r="F464" i="4"/>
  <c r="J464" i="4" s="1"/>
  <c r="E464" i="4"/>
  <c r="D464" i="4"/>
  <c r="C464" i="4"/>
  <c r="M463" i="4"/>
  <c r="L463" i="4"/>
  <c r="K463" i="4"/>
  <c r="H463" i="4"/>
  <c r="G463" i="4"/>
  <c r="I463" i="4" s="1"/>
  <c r="F463" i="4"/>
  <c r="E463" i="4"/>
  <c r="D463" i="4"/>
  <c r="C463" i="4"/>
  <c r="N463" i="4" s="1"/>
  <c r="L461" i="4"/>
  <c r="K461" i="4"/>
  <c r="F461" i="4"/>
  <c r="E461" i="4"/>
  <c r="D461" i="4"/>
  <c r="C461" i="4"/>
  <c r="M460" i="4"/>
  <c r="L460" i="4"/>
  <c r="O460" i="4" s="1"/>
  <c r="K460" i="4"/>
  <c r="F460" i="4"/>
  <c r="E460" i="4"/>
  <c r="D460" i="4"/>
  <c r="C460" i="4"/>
  <c r="M459" i="4"/>
  <c r="L459" i="4"/>
  <c r="O459" i="4" s="1"/>
  <c r="K459" i="4"/>
  <c r="N459" i="4" s="1"/>
  <c r="H459" i="4"/>
  <c r="G459" i="4"/>
  <c r="F459" i="4"/>
  <c r="E459" i="4"/>
  <c r="D459" i="4"/>
  <c r="C459" i="4"/>
  <c r="M458" i="4"/>
  <c r="L458" i="4"/>
  <c r="O458" i="4" s="1"/>
  <c r="K458" i="4"/>
  <c r="H458" i="4"/>
  <c r="G458" i="4"/>
  <c r="F458" i="4"/>
  <c r="E458" i="4"/>
  <c r="D458" i="4"/>
  <c r="C458" i="4"/>
  <c r="M457" i="4"/>
  <c r="L457" i="4"/>
  <c r="K457" i="4"/>
  <c r="H457" i="4"/>
  <c r="G457" i="4"/>
  <c r="F457" i="4"/>
  <c r="E457" i="4"/>
  <c r="D457" i="4"/>
  <c r="C457" i="4"/>
  <c r="M456" i="4"/>
  <c r="L456" i="4"/>
  <c r="K456" i="4"/>
  <c r="H456" i="4"/>
  <c r="G456" i="4"/>
  <c r="F456" i="4"/>
  <c r="E456" i="4"/>
  <c r="D456" i="4"/>
  <c r="C456" i="4"/>
  <c r="M455" i="4"/>
  <c r="L455" i="4"/>
  <c r="K455" i="4"/>
  <c r="H455" i="4"/>
  <c r="G455" i="4"/>
  <c r="F455" i="4"/>
  <c r="E455" i="4"/>
  <c r="D455" i="4"/>
  <c r="C455" i="4"/>
  <c r="M454" i="4"/>
  <c r="L454" i="4"/>
  <c r="K454" i="4"/>
  <c r="H454" i="4"/>
  <c r="G454" i="4"/>
  <c r="F454" i="4"/>
  <c r="O454" i="4" s="1"/>
  <c r="E454" i="4"/>
  <c r="D454" i="4"/>
  <c r="C454" i="4"/>
  <c r="M453" i="4"/>
  <c r="L453" i="4"/>
  <c r="K453" i="4"/>
  <c r="H453" i="4"/>
  <c r="G453" i="4"/>
  <c r="F453" i="4"/>
  <c r="E453" i="4"/>
  <c r="D453" i="4"/>
  <c r="C453" i="4"/>
  <c r="M452" i="4"/>
  <c r="L452" i="4"/>
  <c r="K452" i="4"/>
  <c r="H452" i="4"/>
  <c r="G452" i="4"/>
  <c r="F452" i="4"/>
  <c r="E452" i="4"/>
  <c r="D452" i="4"/>
  <c r="C452" i="4"/>
  <c r="F450" i="4"/>
  <c r="E450" i="4"/>
  <c r="D450" i="4"/>
  <c r="C450" i="4"/>
  <c r="F449" i="4"/>
  <c r="E449" i="4"/>
  <c r="D449" i="4"/>
  <c r="C449" i="4"/>
  <c r="H448" i="4"/>
  <c r="G448" i="4"/>
  <c r="F448" i="4"/>
  <c r="E448" i="4"/>
  <c r="D448" i="4"/>
  <c r="C448" i="4"/>
  <c r="H447" i="4"/>
  <c r="G447" i="4"/>
  <c r="F447" i="4"/>
  <c r="J447" i="4" s="1"/>
  <c r="E447" i="4"/>
  <c r="D447" i="4"/>
  <c r="C447" i="4"/>
  <c r="H446" i="4"/>
  <c r="G446" i="4"/>
  <c r="F446" i="4"/>
  <c r="E446" i="4"/>
  <c r="D446" i="4"/>
  <c r="C446" i="4"/>
  <c r="L445" i="4"/>
  <c r="K445" i="4"/>
  <c r="H445" i="4"/>
  <c r="G445" i="4"/>
  <c r="F445" i="4"/>
  <c r="E445" i="4"/>
  <c r="D445" i="4"/>
  <c r="C445" i="4"/>
  <c r="L444" i="4"/>
  <c r="K444" i="4"/>
  <c r="H444" i="4"/>
  <c r="G444" i="4"/>
  <c r="F444" i="4"/>
  <c r="J444" i="4" s="1"/>
  <c r="E444" i="4"/>
  <c r="D444" i="4"/>
  <c r="C444" i="4"/>
  <c r="I444" i="4" s="1"/>
  <c r="M443" i="4"/>
  <c r="L443" i="4"/>
  <c r="K443" i="4"/>
  <c r="H443" i="4"/>
  <c r="G443" i="4"/>
  <c r="F443" i="4"/>
  <c r="J443" i="4" s="1"/>
  <c r="E443" i="4"/>
  <c r="D443" i="4"/>
  <c r="C443" i="4"/>
  <c r="I443" i="4" s="1"/>
  <c r="M442" i="4"/>
  <c r="L442" i="4"/>
  <c r="K442" i="4"/>
  <c r="H442" i="4"/>
  <c r="G442" i="4"/>
  <c r="F442" i="4"/>
  <c r="O442" i="4" s="1"/>
  <c r="E442" i="4"/>
  <c r="D442" i="4"/>
  <c r="C442" i="4"/>
  <c r="M441" i="4"/>
  <c r="L441" i="4"/>
  <c r="O441" i="4" s="1"/>
  <c r="K441" i="4"/>
  <c r="H441" i="4"/>
  <c r="G441" i="4"/>
  <c r="F441" i="4"/>
  <c r="E441" i="4"/>
  <c r="D441" i="4"/>
  <c r="C441" i="4"/>
  <c r="I441" i="4" s="1"/>
  <c r="F439" i="4"/>
  <c r="E439" i="4"/>
  <c r="D439" i="4"/>
  <c r="C439" i="4"/>
  <c r="F438" i="4"/>
  <c r="E438" i="4"/>
  <c r="D438" i="4"/>
  <c r="C438" i="4"/>
  <c r="H437" i="4"/>
  <c r="G437" i="4"/>
  <c r="F437" i="4"/>
  <c r="E437" i="4"/>
  <c r="D437" i="4"/>
  <c r="C437" i="4"/>
  <c r="H436" i="4"/>
  <c r="G436" i="4"/>
  <c r="F436" i="4"/>
  <c r="E436" i="4"/>
  <c r="D436" i="4"/>
  <c r="C436" i="4"/>
  <c r="H435" i="4"/>
  <c r="J435" i="4" s="1"/>
  <c r="G435" i="4"/>
  <c r="I435" i="4" s="1"/>
  <c r="F435" i="4"/>
  <c r="E435" i="4"/>
  <c r="D435" i="4"/>
  <c r="C435" i="4"/>
  <c r="L434" i="4"/>
  <c r="K434" i="4"/>
  <c r="H434" i="4"/>
  <c r="G434" i="4"/>
  <c r="I434" i="4" s="1"/>
  <c r="F434" i="4"/>
  <c r="O434" i="4" s="1"/>
  <c r="E434" i="4"/>
  <c r="D434" i="4"/>
  <c r="C434" i="4"/>
  <c r="L433" i="4"/>
  <c r="K433" i="4"/>
  <c r="H433" i="4"/>
  <c r="G433" i="4"/>
  <c r="F433" i="4"/>
  <c r="E433" i="4"/>
  <c r="D433" i="4"/>
  <c r="C433" i="4"/>
  <c r="M432" i="4"/>
  <c r="L432" i="4"/>
  <c r="K432" i="4"/>
  <c r="H432" i="4"/>
  <c r="G432" i="4"/>
  <c r="F432" i="4"/>
  <c r="J432" i="4" s="1"/>
  <c r="E432" i="4"/>
  <c r="D432" i="4"/>
  <c r="C432" i="4"/>
  <c r="M431" i="4"/>
  <c r="L431" i="4"/>
  <c r="K431" i="4"/>
  <c r="H431" i="4"/>
  <c r="G431" i="4"/>
  <c r="F431" i="4"/>
  <c r="E431" i="4"/>
  <c r="D431" i="4"/>
  <c r="C431" i="4"/>
  <c r="N431" i="4" s="1"/>
  <c r="M430" i="4"/>
  <c r="L430" i="4"/>
  <c r="K430" i="4"/>
  <c r="H430" i="4"/>
  <c r="G430" i="4"/>
  <c r="F430" i="4"/>
  <c r="E430" i="4"/>
  <c r="D430" i="4"/>
  <c r="C430" i="4"/>
  <c r="N428" i="4"/>
  <c r="M428" i="4"/>
  <c r="D590" i="4" s="1"/>
  <c r="L428" i="4"/>
  <c r="E590" i="4" s="1"/>
  <c r="K428" i="4"/>
  <c r="C590" i="4" s="1"/>
  <c r="F428" i="4"/>
  <c r="E428" i="4"/>
  <c r="D428" i="4"/>
  <c r="C428" i="4"/>
  <c r="M427" i="4"/>
  <c r="L427" i="4"/>
  <c r="K427" i="4"/>
  <c r="F427" i="4"/>
  <c r="O427" i="4" s="1"/>
  <c r="E427" i="4"/>
  <c r="D427" i="4"/>
  <c r="C427" i="4"/>
  <c r="M426" i="4"/>
  <c r="L426" i="4"/>
  <c r="K426" i="4"/>
  <c r="H426" i="4"/>
  <c r="G426" i="4"/>
  <c r="F426" i="4"/>
  <c r="O426" i="4" s="1"/>
  <c r="E426" i="4"/>
  <c r="D426" i="4"/>
  <c r="C426" i="4"/>
  <c r="M425" i="4"/>
  <c r="L425" i="4"/>
  <c r="K425" i="4"/>
  <c r="H425" i="4"/>
  <c r="G425" i="4"/>
  <c r="F425" i="4"/>
  <c r="E425" i="4"/>
  <c r="D425" i="4"/>
  <c r="C425" i="4"/>
  <c r="M424" i="4"/>
  <c r="L424" i="4"/>
  <c r="K424" i="4"/>
  <c r="H424" i="4"/>
  <c r="G424" i="4"/>
  <c r="F424" i="4"/>
  <c r="J424" i="4" s="1"/>
  <c r="E424" i="4"/>
  <c r="D424" i="4"/>
  <c r="C424" i="4"/>
  <c r="M423" i="4"/>
  <c r="L423" i="4"/>
  <c r="K423" i="4"/>
  <c r="H423" i="4"/>
  <c r="G423" i="4"/>
  <c r="F423" i="4"/>
  <c r="E423" i="4"/>
  <c r="D423" i="4"/>
  <c r="C423" i="4"/>
  <c r="M422" i="4"/>
  <c r="L422" i="4"/>
  <c r="K422" i="4"/>
  <c r="H422" i="4"/>
  <c r="G422" i="4"/>
  <c r="F422" i="4"/>
  <c r="E422" i="4"/>
  <c r="D422" i="4"/>
  <c r="C422" i="4"/>
  <c r="M421" i="4"/>
  <c r="L421" i="4"/>
  <c r="O421" i="4" s="1"/>
  <c r="K421" i="4"/>
  <c r="H421" i="4"/>
  <c r="J421" i="4" s="1"/>
  <c r="G421" i="4"/>
  <c r="F421" i="4"/>
  <c r="E421" i="4"/>
  <c r="D421" i="4"/>
  <c r="C421" i="4"/>
  <c r="I421" i="4" s="1"/>
  <c r="M420" i="4"/>
  <c r="L420" i="4"/>
  <c r="K420" i="4"/>
  <c r="H420" i="4"/>
  <c r="G420" i="4"/>
  <c r="F420" i="4"/>
  <c r="E420" i="4"/>
  <c r="D420" i="4"/>
  <c r="C420" i="4"/>
  <c r="M419" i="4"/>
  <c r="L419" i="4"/>
  <c r="K419" i="4"/>
  <c r="H419" i="4"/>
  <c r="G419" i="4"/>
  <c r="F419" i="4"/>
  <c r="E419" i="4"/>
  <c r="D419" i="4"/>
  <c r="C419" i="4"/>
  <c r="F417" i="4"/>
  <c r="E417" i="4"/>
  <c r="D417" i="4"/>
  <c r="C417" i="4"/>
  <c r="F416" i="4"/>
  <c r="E416" i="4"/>
  <c r="D416" i="4"/>
  <c r="C416" i="4"/>
  <c r="H415" i="4"/>
  <c r="G415" i="4"/>
  <c r="F415" i="4"/>
  <c r="E415" i="4"/>
  <c r="D415" i="4"/>
  <c r="C415" i="4"/>
  <c r="H414" i="4"/>
  <c r="J414" i="4" s="1"/>
  <c r="G414" i="4"/>
  <c r="F414" i="4"/>
  <c r="E414" i="4"/>
  <c r="D414" i="4"/>
  <c r="C414" i="4"/>
  <c r="H413" i="4"/>
  <c r="G413" i="4"/>
  <c r="F413" i="4"/>
  <c r="J413" i="4" s="1"/>
  <c r="E413" i="4"/>
  <c r="D413" i="4"/>
  <c r="C413" i="4"/>
  <c r="L412" i="4"/>
  <c r="K412" i="4"/>
  <c r="H412" i="4"/>
  <c r="G412" i="4"/>
  <c r="F412" i="4"/>
  <c r="O412" i="4" s="1"/>
  <c r="E412" i="4"/>
  <c r="D412" i="4"/>
  <c r="C412" i="4"/>
  <c r="L411" i="4"/>
  <c r="O411" i="4" s="1"/>
  <c r="K411" i="4"/>
  <c r="H411" i="4"/>
  <c r="G411" i="4"/>
  <c r="F411" i="4"/>
  <c r="E411" i="4"/>
  <c r="D411" i="4"/>
  <c r="C411" i="4"/>
  <c r="L410" i="4"/>
  <c r="O410" i="4" s="1"/>
  <c r="K410" i="4"/>
  <c r="H410" i="4"/>
  <c r="J410" i="4" s="1"/>
  <c r="G410" i="4"/>
  <c r="F410" i="4"/>
  <c r="E410" i="4"/>
  <c r="D410" i="4"/>
  <c r="C410" i="4"/>
  <c r="M409" i="4"/>
  <c r="L409" i="4"/>
  <c r="O409" i="4" s="1"/>
  <c r="K409" i="4"/>
  <c r="J409" i="4"/>
  <c r="H409" i="4"/>
  <c r="G409" i="4"/>
  <c r="F409" i="4"/>
  <c r="E409" i="4"/>
  <c r="D409" i="4"/>
  <c r="C409" i="4"/>
  <c r="M408" i="4"/>
  <c r="L408" i="4"/>
  <c r="K408" i="4"/>
  <c r="N408" i="4" s="1"/>
  <c r="H408" i="4"/>
  <c r="G408" i="4"/>
  <c r="F408" i="4"/>
  <c r="E408" i="4"/>
  <c r="D408" i="4"/>
  <c r="C408" i="4"/>
  <c r="F406" i="4"/>
  <c r="E406" i="4"/>
  <c r="D406" i="4"/>
  <c r="C406" i="4"/>
  <c r="L405" i="4"/>
  <c r="K405" i="4"/>
  <c r="F405" i="4"/>
  <c r="E405" i="4"/>
  <c r="D405" i="4"/>
  <c r="C405" i="4"/>
  <c r="L404" i="4"/>
  <c r="K404" i="4"/>
  <c r="H404" i="4"/>
  <c r="G404" i="4"/>
  <c r="F404" i="4"/>
  <c r="O404" i="4" s="1"/>
  <c r="E404" i="4"/>
  <c r="D404" i="4"/>
  <c r="C404" i="4"/>
  <c r="M403" i="4"/>
  <c r="L403" i="4"/>
  <c r="K403" i="4"/>
  <c r="H403" i="4"/>
  <c r="G403" i="4"/>
  <c r="I403" i="4" s="1"/>
  <c r="F403" i="4"/>
  <c r="E403" i="4"/>
  <c r="D403" i="4"/>
  <c r="C403" i="4"/>
  <c r="M402" i="4"/>
  <c r="D599" i="4" s="1"/>
  <c r="L402" i="4"/>
  <c r="E599" i="4" s="1"/>
  <c r="K402" i="4"/>
  <c r="H402" i="4"/>
  <c r="G402" i="4"/>
  <c r="F402" i="4"/>
  <c r="J402" i="4" s="1"/>
  <c r="E402" i="4"/>
  <c r="D402" i="4"/>
  <c r="C402" i="4"/>
  <c r="M401" i="4"/>
  <c r="L401" i="4"/>
  <c r="K401" i="4"/>
  <c r="H401" i="4"/>
  <c r="G401" i="4"/>
  <c r="F401" i="4"/>
  <c r="E401" i="4"/>
  <c r="D401" i="4"/>
  <c r="C401" i="4"/>
  <c r="M400" i="4"/>
  <c r="L400" i="4"/>
  <c r="K400" i="4"/>
  <c r="H400" i="4"/>
  <c r="G400" i="4"/>
  <c r="F400" i="4"/>
  <c r="E400" i="4"/>
  <c r="D400" i="4"/>
  <c r="C400" i="4"/>
  <c r="M399" i="4"/>
  <c r="L399" i="4"/>
  <c r="K399" i="4"/>
  <c r="H399" i="4"/>
  <c r="G399" i="4"/>
  <c r="F399" i="4"/>
  <c r="E399" i="4"/>
  <c r="D399" i="4"/>
  <c r="C399" i="4"/>
  <c r="I399" i="4" s="1"/>
  <c r="M398" i="4"/>
  <c r="L398" i="4"/>
  <c r="K398" i="4"/>
  <c r="H398" i="4"/>
  <c r="G398" i="4"/>
  <c r="F398" i="4"/>
  <c r="E398" i="4"/>
  <c r="D398" i="4"/>
  <c r="C398" i="4"/>
  <c r="N398" i="4" s="1"/>
  <c r="M397" i="4"/>
  <c r="L397" i="4"/>
  <c r="K397" i="4"/>
  <c r="H397" i="4"/>
  <c r="J397" i="4" s="1"/>
  <c r="G397" i="4"/>
  <c r="F397" i="4"/>
  <c r="E397" i="4"/>
  <c r="D397" i="4"/>
  <c r="C397" i="4"/>
  <c r="L395" i="4"/>
  <c r="K395" i="4"/>
  <c r="F395" i="4"/>
  <c r="E395" i="4"/>
  <c r="D395" i="4"/>
  <c r="C395" i="4"/>
  <c r="M394" i="4"/>
  <c r="L394" i="4"/>
  <c r="K394" i="4"/>
  <c r="F394" i="4"/>
  <c r="E394" i="4"/>
  <c r="D394" i="4"/>
  <c r="C394" i="4"/>
  <c r="M393" i="4"/>
  <c r="L393" i="4"/>
  <c r="K393" i="4"/>
  <c r="H393" i="4"/>
  <c r="G393" i="4"/>
  <c r="F393" i="4"/>
  <c r="E393" i="4"/>
  <c r="D393" i="4"/>
  <c r="C393" i="4"/>
  <c r="N393" i="4" s="1"/>
  <c r="M392" i="4"/>
  <c r="L392" i="4"/>
  <c r="K392" i="4"/>
  <c r="H392" i="4"/>
  <c r="G392" i="4"/>
  <c r="F392" i="4"/>
  <c r="E392" i="4"/>
  <c r="D392" i="4"/>
  <c r="C392" i="4"/>
  <c r="N392" i="4" s="1"/>
  <c r="M391" i="4"/>
  <c r="L391" i="4"/>
  <c r="K391" i="4"/>
  <c r="H391" i="4"/>
  <c r="G391" i="4"/>
  <c r="F391" i="4"/>
  <c r="E391" i="4"/>
  <c r="D391" i="4"/>
  <c r="C391" i="4"/>
  <c r="M390" i="4"/>
  <c r="L390" i="4"/>
  <c r="O390" i="4" s="1"/>
  <c r="K390" i="4"/>
  <c r="H390" i="4"/>
  <c r="J390" i="4" s="1"/>
  <c r="G390" i="4"/>
  <c r="F390" i="4"/>
  <c r="E390" i="4"/>
  <c r="D390" i="4"/>
  <c r="C390" i="4"/>
  <c r="M389" i="4"/>
  <c r="L389" i="4"/>
  <c r="O389" i="4" s="1"/>
  <c r="K389" i="4"/>
  <c r="H389" i="4"/>
  <c r="J389" i="4" s="1"/>
  <c r="G389" i="4"/>
  <c r="F389" i="4"/>
  <c r="E389" i="4"/>
  <c r="D389" i="4"/>
  <c r="C389" i="4"/>
  <c r="M388" i="4"/>
  <c r="L388" i="4"/>
  <c r="O388" i="4" s="1"/>
  <c r="K388" i="4"/>
  <c r="N388" i="4" s="1"/>
  <c r="H388" i="4"/>
  <c r="J388" i="4" s="1"/>
  <c r="G388" i="4"/>
  <c r="F388" i="4"/>
  <c r="E388" i="4"/>
  <c r="D388" i="4"/>
  <c r="C388" i="4"/>
  <c r="M387" i="4"/>
  <c r="L387" i="4"/>
  <c r="O387" i="4" s="1"/>
  <c r="K387" i="4"/>
  <c r="H387" i="4"/>
  <c r="J387" i="4" s="1"/>
  <c r="G387" i="4"/>
  <c r="F387" i="4"/>
  <c r="E387" i="4"/>
  <c r="D387" i="4"/>
  <c r="C387" i="4"/>
  <c r="M386" i="4"/>
  <c r="L386" i="4"/>
  <c r="K386" i="4"/>
  <c r="N386" i="4" s="1"/>
  <c r="H386" i="4"/>
  <c r="G386" i="4"/>
  <c r="F386" i="4"/>
  <c r="E386" i="4"/>
  <c r="D386" i="4"/>
  <c r="C386" i="4"/>
  <c r="F384" i="4"/>
  <c r="E384" i="4"/>
  <c r="D384" i="4"/>
  <c r="C384" i="4"/>
  <c r="F383" i="4"/>
  <c r="E383" i="4"/>
  <c r="D383" i="4"/>
  <c r="C383" i="4"/>
  <c r="H382" i="4"/>
  <c r="H614" i="4" s="1"/>
  <c r="G382" i="4"/>
  <c r="G614" i="4" s="1"/>
  <c r="F382" i="4"/>
  <c r="E382" i="4"/>
  <c r="D382" i="4"/>
  <c r="C382" i="4"/>
  <c r="H381" i="4"/>
  <c r="G381" i="4"/>
  <c r="F381" i="4"/>
  <c r="M613" i="4" s="1"/>
  <c r="E381" i="4"/>
  <c r="D381" i="4"/>
  <c r="C381" i="4"/>
  <c r="H380" i="4"/>
  <c r="G380" i="4"/>
  <c r="F380" i="4"/>
  <c r="E380" i="4"/>
  <c r="D380" i="4"/>
  <c r="C380" i="4"/>
  <c r="J612" i="4" s="1"/>
  <c r="O379" i="4"/>
  <c r="L379" i="4"/>
  <c r="K379" i="4"/>
  <c r="H379" i="4"/>
  <c r="G379" i="4"/>
  <c r="F379" i="4"/>
  <c r="E379" i="4"/>
  <c r="D379" i="4"/>
  <c r="C379" i="4"/>
  <c r="M378" i="4"/>
  <c r="D610" i="4" s="1"/>
  <c r="L378" i="4"/>
  <c r="E610" i="4" s="1"/>
  <c r="K378" i="4"/>
  <c r="H378" i="4"/>
  <c r="G378" i="4"/>
  <c r="F378" i="4"/>
  <c r="E378" i="4"/>
  <c r="D378" i="4"/>
  <c r="C378" i="4"/>
  <c r="M377" i="4"/>
  <c r="D609" i="4" s="1"/>
  <c r="L377" i="4"/>
  <c r="O377" i="4" s="1"/>
  <c r="K377" i="4"/>
  <c r="C609" i="4" s="1"/>
  <c r="H377" i="4"/>
  <c r="H609" i="4" s="1"/>
  <c r="G377" i="4"/>
  <c r="F377" i="4"/>
  <c r="E377" i="4"/>
  <c r="D377" i="4"/>
  <c r="C377" i="4"/>
  <c r="M376" i="4"/>
  <c r="L376" i="4"/>
  <c r="K376" i="4"/>
  <c r="H376" i="4"/>
  <c r="H608" i="4" s="1"/>
  <c r="R608" i="4" s="1"/>
  <c r="G376" i="4"/>
  <c r="G608" i="4" s="1"/>
  <c r="F376" i="4"/>
  <c r="E376" i="4"/>
  <c r="L608" i="4" s="1"/>
  <c r="D376" i="4"/>
  <c r="C376" i="4"/>
  <c r="M375" i="4"/>
  <c r="L375" i="4"/>
  <c r="K375" i="4"/>
  <c r="H375" i="4"/>
  <c r="H607" i="4" s="1"/>
  <c r="G375" i="4"/>
  <c r="F375" i="4"/>
  <c r="E375" i="4"/>
  <c r="D375" i="4"/>
  <c r="C375" i="4"/>
  <c r="F373" i="4"/>
  <c r="E373" i="4"/>
  <c r="D373" i="4"/>
  <c r="C373" i="4"/>
  <c r="F372" i="4"/>
  <c r="M602" i="4" s="1"/>
  <c r="E372" i="4"/>
  <c r="L602" i="4" s="1"/>
  <c r="D372" i="4"/>
  <c r="C372" i="4"/>
  <c r="L371" i="4"/>
  <c r="K371" i="4"/>
  <c r="H371" i="4"/>
  <c r="H601" i="4" s="1"/>
  <c r="G371" i="4"/>
  <c r="G601" i="4" s="1"/>
  <c r="F371" i="4"/>
  <c r="E371" i="4"/>
  <c r="D371" i="4"/>
  <c r="C371" i="4"/>
  <c r="M370" i="4"/>
  <c r="L370" i="4"/>
  <c r="K370" i="4"/>
  <c r="H370" i="4"/>
  <c r="G370" i="4"/>
  <c r="F370" i="4"/>
  <c r="E370" i="4"/>
  <c r="D370" i="4"/>
  <c r="K600" i="4" s="1"/>
  <c r="C370" i="4"/>
  <c r="L369" i="4"/>
  <c r="K369" i="4"/>
  <c r="H369" i="4"/>
  <c r="G369" i="4"/>
  <c r="F369" i="4"/>
  <c r="E369" i="4"/>
  <c r="D369" i="4"/>
  <c r="C369" i="4"/>
  <c r="M368" i="4"/>
  <c r="D598" i="4" s="1"/>
  <c r="L368" i="4"/>
  <c r="E598" i="4" s="1"/>
  <c r="K368" i="4"/>
  <c r="H368" i="4"/>
  <c r="G368" i="4"/>
  <c r="F368" i="4"/>
  <c r="E368" i="4"/>
  <c r="D368" i="4"/>
  <c r="C368" i="4"/>
  <c r="M367" i="4"/>
  <c r="L367" i="4"/>
  <c r="E597" i="4" s="1"/>
  <c r="K367" i="4"/>
  <c r="H367" i="4"/>
  <c r="G367" i="4"/>
  <c r="F367" i="4"/>
  <c r="E367" i="4"/>
  <c r="D367" i="4"/>
  <c r="C367" i="4"/>
  <c r="M366" i="4"/>
  <c r="L366" i="4"/>
  <c r="E596" i="4" s="1"/>
  <c r="K366" i="4"/>
  <c r="H366" i="4"/>
  <c r="G366" i="4"/>
  <c r="F366" i="4"/>
  <c r="E366" i="4"/>
  <c r="D366" i="4"/>
  <c r="C366" i="4"/>
  <c r="M365" i="4"/>
  <c r="L365" i="4"/>
  <c r="K365" i="4"/>
  <c r="C595" i="4" s="1"/>
  <c r="H365" i="4"/>
  <c r="H595" i="4" s="1"/>
  <c r="G365" i="4"/>
  <c r="F365" i="4"/>
  <c r="E365" i="4"/>
  <c r="D365" i="4"/>
  <c r="C365" i="4"/>
  <c r="M364" i="4"/>
  <c r="L364" i="4"/>
  <c r="K364" i="4"/>
  <c r="I364" i="4"/>
  <c r="H364" i="4"/>
  <c r="J364" i="4" s="1"/>
  <c r="G364" i="4"/>
  <c r="F364" i="4"/>
  <c r="E364" i="4"/>
  <c r="D364" i="4"/>
  <c r="C364" i="4"/>
  <c r="L362" i="4"/>
  <c r="K362" i="4"/>
  <c r="F362" i="4"/>
  <c r="E362" i="4"/>
  <c r="D362" i="4"/>
  <c r="C362" i="4"/>
  <c r="M361" i="4"/>
  <c r="L361" i="4"/>
  <c r="K361" i="4"/>
  <c r="F361" i="4"/>
  <c r="E361" i="4"/>
  <c r="D361" i="4"/>
  <c r="C361" i="4"/>
  <c r="M360" i="4"/>
  <c r="L360" i="4"/>
  <c r="K360" i="4"/>
  <c r="H360" i="4"/>
  <c r="G360" i="4"/>
  <c r="F360" i="4"/>
  <c r="E360" i="4"/>
  <c r="D360" i="4"/>
  <c r="C360" i="4"/>
  <c r="M359" i="4"/>
  <c r="L359" i="4"/>
  <c r="K359" i="4"/>
  <c r="H359" i="4"/>
  <c r="G359" i="4"/>
  <c r="F359" i="4"/>
  <c r="E359" i="4"/>
  <c r="D359" i="4"/>
  <c r="C359" i="4"/>
  <c r="M358" i="4"/>
  <c r="L358" i="4"/>
  <c r="K358" i="4"/>
  <c r="H358" i="4"/>
  <c r="H586" i="4" s="1"/>
  <c r="G358" i="4"/>
  <c r="F358" i="4"/>
  <c r="E358" i="4"/>
  <c r="D358" i="4"/>
  <c r="C358" i="4"/>
  <c r="M357" i="4"/>
  <c r="L357" i="4"/>
  <c r="K357" i="4"/>
  <c r="H357" i="4"/>
  <c r="G357" i="4"/>
  <c r="G585" i="4" s="1"/>
  <c r="F357" i="4"/>
  <c r="E357" i="4"/>
  <c r="D357" i="4"/>
  <c r="C357" i="4"/>
  <c r="M356" i="4"/>
  <c r="L356" i="4"/>
  <c r="K356" i="4"/>
  <c r="H356" i="4"/>
  <c r="G356" i="4"/>
  <c r="F356" i="4"/>
  <c r="J356" i="4" s="1"/>
  <c r="E356" i="4"/>
  <c r="D356" i="4"/>
  <c r="C356" i="4"/>
  <c r="M355" i="4"/>
  <c r="L355" i="4"/>
  <c r="K355" i="4"/>
  <c r="H355" i="4"/>
  <c r="G355" i="4"/>
  <c r="F355" i="4"/>
  <c r="O355" i="4" s="1"/>
  <c r="E355" i="4"/>
  <c r="D355" i="4"/>
  <c r="C355" i="4"/>
  <c r="M354" i="4"/>
  <c r="L354" i="4"/>
  <c r="K354" i="4"/>
  <c r="H354" i="4"/>
  <c r="G354" i="4"/>
  <c r="F354" i="4"/>
  <c r="E354" i="4"/>
  <c r="D354" i="4"/>
  <c r="C354" i="4"/>
  <c r="M353" i="4"/>
  <c r="L353" i="4"/>
  <c r="K353" i="4"/>
  <c r="H353" i="4"/>
  <c r="G353" i="4"/>
  <c r="F353" i="4"/>
  <c r="E353" i="4"/>
  <c r="D353" i="4"/>
  <c r="C353" i="4"/>
  <c r="F347" i="4"/>
  <c r="M663" i="4" s="1"/>
  <c r="E347" i="4"/>
  <c r="L663" i="4" s="1"/>
  <c r="D347" i="4"/>
  <c r="K663" i="4" s="1"/>
  <c r="C347" i="4"/>
  <c r="J663" i="4" s="1"/>
  <c r="F346" i="4"/>
  <c r="M650" i="4" s="1"/>
  <c r="E346" i="4"/>
  <c r="L650" i="4" s="1"/>
  <c r="D346" i="4"/>
  <c r="K650" i="4" s="1"/>
  <c r="C346" i="4"/>
  <c r="J650" i="4" s="1"/>
  <c r="F345" i="4"/>
  <c r="M637" i="4" s="1"/>
  <c r="E345" i="4"/>
  <c r="L637" i="4" s="1"/>
  <c r="D345" i="4"/>
  <c r="K637" i="4" s="1"/>
  <c r="C345" i="4"/>
  <c r="J637" i="4" s="1"/>
  <c r="F343" i="4"/>
  <c r="E343" i="4"/>
  <c r="D343" i="4"/>
  <c r="C343" i="4"/>
  <c r="F342" i="4"/>
  <c r="E342" i="4"/>
  <c r="D342" i="4"/>
  <c r="C342" i="4"/>
  <c r="H341" i="4"/>
  <c r="G341" i="4"/>
  <c r="F341" i="4"/>
  <c r="E341" i="4"/>
  <c r="D341" i="4"/>
  <c r="C341" i="4"/>
  <c r="H340" i="4"/>
  <c r="G340" i="4"/>
  <c r="F340" i="4"/>
  <c r="E340" i="4"/>
  <c r="D340" i="4"/>
  <c r="C340" i="4"/>
  <c r="H339" i="4"/>
  <c r="G339" i="4"/>
  <c r="F339" i="4"/>
  <c r="E339" i="4"/>
  <c r="D339" i="4"/>
  <c r="C339" i="4"/>
  <c r="L338" i="4"/>
  <c r="K338" i="4"/>
  <c r="H338" i="4"/>
  <c r="H657" i="4" s="1"/>
  <c r="R657" i="4" s="1"/>
  <c r="G338" i="4"/>
  <c r="G657" i="4" s="1"/>
  <c r="F338" i="4"/>
  <c r="E338" i="4"/>
  <c r="D338" i="4"/>
  <c r="C338" i="4"/>
  <c r="L337" i="4"/>
  <c r="K337" i="4"/>
  <c r="H337" i="4"/>
  <c r="G337" i="4"/>
  <c r="F337" i="4"/>
  <c r="E337" i="4"/>
  <c r="D337" i="4"/>
  <c r="C337" i="4"/>
  <c r="L336" i="4"/>
  <c r="K336" i="4"/>
  <c r="H336" i="4"/>
  <c r="G336" i="4"/>
  <c r="F336" i="4"/>
  <c r="E336" i="4"/>
  <c r="D336" i="4"/>
  <c r="C336" i="4"/>
  <c r="L335" i="4"/>
  <c r="K335" i="4"/>
  <c r="H335" i="4"/>
  <c r="G335" i="4"/>
  <c r="F335" i="4"/>
  <c r="O335" i="4" s="1"/>
  <c r="E335" i="4"/>
  <c r="D335" i="4"/>
  <c r="C335" i="4"/>
  <c r="L334" i="4"/>
  <c r="K334" i="4"/>
  <c r="H334" i="4"/>
  <c r="G334" i="4"/>
  <c r="F334" i="4"/>
  <c r="E334" i="4"/>
  <c r="D334" i="4"/>
  <c r="C334" i="4"/>
  <c r="F332" i="4"/>
  <c r="E332" i="4"/>
  <c r="D332" i="4"/>
  <c r="C332" i="4"/>
  <c r="F331" i="4"/>
  <c r="E331" i="4"/>
  <c r="D331" i="4"/>
  <c r="C331" i="4"/>
  <c r="H330" i="4"/>
  <c r="G330" i="4"/>
  <c r="F330" i="4"/>
  <c r="J330" i="4" s="1"/>
  <c r="E330" i="4"/>
  <c r="D330" i="4"/>
  <c r="C330" i="4"/>
  <c r="H329" i="4"/>
  <c r="G329" i="4"/>
  <c r="F329" i="4"/>
  <c r="E329" i="4"/>
  <c r="D329" i="4"/>
  <c r="C329" i="4"/>
  <c r="H328" i="4"/>
  <c r="G328" i="4"/>
  <c r="F328" i="4"/>
  <c r="E328" i="4"/>
  <c r="D328" i="4"/>
  <c r="C328" i="4"/>
  <c r="L327" i="4"/>
  <c r="K327" i="4"/>
  <c r="H327" i="4"/>
  <c r="G327" i="4"/>
  <c r="F327" i="4"/>
  <c r="O327" i="4" s="1"/>
  <c r="E327" i="4"/>
  <c r="D327" i="4"/>
  <c r="C327" i="4"/>
  <c r="L326" i="4"/>
  <c r="K326" i="4"/>
  <c r="H326" i="4"/>
  <c r="G326" i="4"/>
  <c r="F326" i="4"/>
  <c r="E326" i="4"/>
  <c r="D326" i="4"/>
  <c r="C326" i="4"/>
  <c r="L325" i="4"/>
  <c r="K325" i="4"/>
  <c r="H325" i="4"/>
  <c r="G325" i="4"/>
  <c r="F325" i="4"/>
  <c r="E325" i="4"/>
  <c r="D325" i="4"/>
  <c r="C325" i="4"/>
  <c r="I325" i="4" s="1"/>
  <c r="O324" i="4"/>
  <c r="M324" i="4"/>
  <c r="L324" i="4"/>
  <c r="K324" i="4"/>
  <c r="H324" i="4"/>
  <c r="G324" i="4"/>
  <c r="F324" i="4"/>
  <c r="E324" i="4"/>
  <c r="D324" i="4"/>
  <c r="C324" i="4"/>
  <c r="N324" i="4" s="1"/>
  <c r="O323" i="4"/>
  <c r="M323" i="4"/>
  <c r="L323" i="4"/>
  <c r="K323" i="4"/>
  <c r="H323" i="4"/>
  <c r="G323" i="4"/>
  <c r="F323" i="4"/>
  <c r="E323" i="4"/>
  <c r="D323" i="4"/>
  <c r="C323" i="4"/>
  <c r="N323" i="4" s="1"/>
  <c r="F321" i="4"/>
  <c r="E321" i="4"/>
  <c r="D321" i="4"/>
  <c r="C321" i="4"/>
  <c r="F320" i="4"/>
  <c r="E320" i="4"/>
  <c r="D320" i="4"/>
  <c r="C320" i="4"/>
  <c r="H319" i="4"/>
  <c r="G319" i="4"/>
  <c r="F319" i="4"/>
  <c r="J319" i="4" s="1"/>
  <c r="E319" i="4"/>
  <c r="D319" i="4"/>
  <c r="C319" i="4"/>
  <c r="H318" i="4"/>
  <c r="J318" i="4" s="1"/>
  <c r="G318" i="4"/>
  <c r="F318" i="4"/>
  <c r="E318" i="4"/>
  <c r="D318" i="4"/>
  <c r="C318" i="4"/>
  <c r="L317" i="4"/>
  <c r="K317" i="4"/>
  <c r="H317" i="4"/>
  <c r="G317" i="4"/>
  <c r="F317" i="4"/>
  <c r="E317" i="4"/>
  <c r="D317" i="4"/>
  <c r="C317" i="4"/>
  <c r="I317" i="4" s="1"/>
  <c r="M316" i="4"/>
  <c r="L316" i="4"/>
  <c r="O316" i="4" s="1"/>
  <c r="K316" i="4"/>
  <c r="H316" i="4"/>
  <c r="G316" i="4"/>
  <c r="F316" i="4"/>
  <c r="E316" i="4"/>
  <c r="D316" i="4"/>
  <c r="C316" i="4"/>
  <c r="L315" i="4"/>
  <c r="O315" i="4" s="1"/>
  <c r="K315" i="4"/>
  <c r="H315" i="4"/>
  <c r="G315" i="4"/>
  <c r="F315" i="4"/>
  <c r="E315" i="4"/>
  <c r="D315" i="4"/>
  <c r="C315" i="4"/>
  <c r="M314" i="4"/>
  <c r="L314" i="4"/>
  <c r="K314" i="4"/>
  <c r="H314" i="4"/>
  <c r="G314" i="4"/>
  <c r="F314" i="4"/>
  <c r="E314" i="4"/>
  <c r="D314" i="4"/>
  <c r="C314" i="4"/>
  <c r="M313" i="4"/>
  <c r="L313" i="4"/>
  <c r="K313" i="4"/>
  <c r="H313" i="4"/>
  <c r="G313" i="4"/>
  <c r="F313" i="4"/>
  <c r="E313" i="4"/>
  <c r="D313" i="4"/>
  <c r="C313" i="4"/>
  <c r="M312" i="4"/>
  <c r="L312" i="4"/>
  <c r="K312" i="4"/>
  <c r="H312" i="4"/>
  <c r="G312" i="4"/>
  <c r="F312" i="4"/>
  <c r="O312" i="4" s="1"/>
  <c r="E312" i="4"/>
  <c r="D312" i="4"/>
  <c r="C312" i="4"/>
  <c r="F310" i="4"/>
  <c r="E310" i="4"/>
  <c r="D310" i="4"/>
  <c r="C310" i="4"/>
  <c r="F309" i="4"/>
  <c r="E309" i="4"/>
  <c r="D309" i="4"/>
  <c r="C309" i="4"/>
  <c r="H308" i="4"/>
  <c r="G308" i="4"/>
  <c r="F308" i="4"/>
  <c r="E308" i="4"/>
  <c r="D308" i="4"/>
  <c r="C308" i="4"/>
  <c r="H307" i="4"/>
  <c r="J307" i="4" s="1"/>
  <c r="G307" i="4"/>
  <c r="F307" i="4"/>
  <c r="E307" i="4"/>
  <c r="D307" i="4"/>
  <c r="C307" i="4"/>
  <c r="H306" i="4"/>
  <c r="G306" i="4"/>
  <c r="F306" i="4"/>
  <c r="J306" i="4" s="1"/>
  <c r="E306" i="4"/>
  <c r="D306" i="4"/>
  <c r="C306" i="4"/>
  <c r="L305" i="4"/>
  <c r="K305" i="4"/>
  <c r="H305" i="4"/>
  <c r="G305" i="4"/>
  <c r="F305" i="4"/>
  <c r="E305" i="4"/>
  <c r="D305" i="4"/>
  <c r="C305" i="4"/>
  <c r="L304" i="4"/>
  <c r="K304" i="4"/>
  <c r="H304" i="4"/>
  <c r="G304" i="4"/>
  <c r="F304" i="4"/>
  <c r="J304" i="4" s="1"/>
  <c r="E304" i="4"/>
  <c r="D304" i="4"/>
  <c r="C304" i="4"/>
  <c r="L303" i="4"/>
  <c r="O303" i="4" s="1"/>
  <c r="K303" i="4"/>
  <c r="H303" i="4"/>
  <c r="H655" i="4" s="1"/>
  <c r="G303" i="4"/>
  <c r="G655" i="4" s="1"/>
  <c r="F303" i="4"/>
  <c r="E303" i="4"/>
  <c r="D303" i="4"/>
  <c r="C303" i="4"/>
  <c r="M302" i="4"/>
  <c r="L302" i="4"/>
  <c r="K302" i="4"/>
  <c r="H302" i="4"/>
  <c r="G302" i="4"/>
  <c r="F302" i="4"/>
  <c r="E302" i="4"/>
  <c r="D302" i="4"/>
  <c r="C302" i="4"/>
  <c r="M301" i="4"/>
  <c r="L301" i="4"/>
  <c r="K301" i="4"/>
  <c r="H301" i="4"/>
  <c r="G301" i="4"/>
  <c r="F301" i="4"/>
  <c r="O301" i="4" s="1"/>
  <c r="E301" i="4"/>
  <c r="D301" i="4"/>
  <c r="C301" i="4"/>
  <c r="F299" i="4"/>
  <c r="E299" i="4"/>
  <c r="D299" i="4"/>
  <c r="C299" i="4"/>
  <c r="F298" i="4"/>
  <c r="E298" i="4"/>
  <c r="D298" i="4"/>
  <c r="C298" i="4"/>
  <c r="H297" i="4"/>
  <c r="G297" i="4"/>
  <c r="F297" i="4"/>
  <c r="E297" i="4"/>
  <c r="D297" i="4"/>
  <c r="C297" i="4"/>
  <c r="H296" i="4"/>
  <c r="G296" i="4"/>
  <c r="I296" i="4" s="1"/>
  <c r="F296" i="4"/>
  <c r="J296" i="4" s="1"/>
  <c r="E296" i="4"/>
  <c r="D296" i="4"/>
  <c r="C296" i="4"/>
  <c r="H295" i="4"/>
  <c r="G295" i="4"/>
  <c r="F295" i="4"/>
  <c r="E295" i="4"/>
  <c r="D295" i="4"/>
  <c r="C295" i="4"/>
  <c r="I295" i="4" s="1"/>
  <c r="L294" i="4"/>
  <c r="K294" i="4"/>
  <c r="H294" i="4"/>
  <c r="G294" i="4"/>
  <c r="F294" i="4"/>
  <c r="E294" i="4"/>
  <c r="D294" i="4"/>
  <c r="C294" i="4"/>
  <c r="I294" i="4" s="1"/>
  <c r="L293" i="4"/>
  <c r="K293" i="4"/>
  <c r="H293" i="4"/>
  <c r="G293" i="4"/>
  <c r="F293" i="4"/>
  <c r="E293" i="4"/>
  <c r="D293" i="4"/>
  <c r="C293" i="4"/>
  <c r="M292" i="4"/>
  <c r="L292" i="4"/>
  <c r="K292" i="4"/>
  <c r="H292" i="4"/>
  <c r="G292" i="4"/>
  <c r="F292" i="4"/>
  <c r="E292" i="4"/>
  <c r="D292" i="4"/>
  <c r="C292" i="4"/>
  <c r="N292" i="4" s="1"/>
  <c r="M291" i="4"/>
  <c r="L291" i="4"/>
  <c r="K291" i="4"/>
  <c r="H291" i="4"/>
  <c r="G291" i="4"/>
  <c r="F291" i="4"/>
  <c r="E291" i="4"/>
  <c r="D291" i="4"/>
  <c r="C291" i="4"/>
  <c r="I291" i="4" s="1"/>
  <c r="M290" i="4"/>
  <c r="L290" i="4"/>
  <c r="K290" i="4"/>
  <c r="H290" i="4"/>
  <c r="G290" i="4"/>
  <c r="F290" i="4"/>
  <c r="E290" i="4"/>
  <c r="D290" i="4"/>
  <c r="C290" i="4"/>
  <c r="F288" i="4"/>
  <c r="E288" i="4"/>
  <c r="D288" i="4"/>
  <c r="C288" i="4"/>
  <c r="F287" i="4"/>
  <c r="E287" i="4"/>
  <c r="D287" i="4"/>
  <c r="C287" i="4"/>
  <c r="H286" i="4"/>
  <c r="G286" i="4"/>
  <c r="F286" i="4"/>
  <c r="E286" i="4"/>
  <c r="D286" i="4"/>
  <c r="C286" i="4"/>
  <c r="L285" i="4"/>
  <c r="K285" i="4"/>
  <c r="G285" i="4"/>
  <c r="F285" i="4"/>
  <c r="E285" i="4"/>
  <c r="D285" i="4"/>
  <c r="C285" i="4"/>
  <c r="M284" i="4"/>
  <c r="D632" i="4" s="1"/>
  <c r="L284" i="4"/>
  <c r="E632" i="4" s="1"/>
  <c r="K284" i="4"/>
  <c r="H284" i="4"/>
  <c r="G284" i="4"/>
  <c r="F284" i="4"/>
  <c r="O284" i="4" s="1"/>
  <c r="E284" i="4"/>
  <c r="D284" i="4"/>
  <c r="C284" i="4"/>
  <c r="M283" i="4"/>
  <c r="L283" i="4"/>
  <c r="K283" i="4"/>
  <c r="H283" i="4"/>
  <c r="J283" i="4" s="1"/>
  <c r="G283" i="4"/>
  <c r="F283" i="4"/>
  <c r="E283" i="4"/>
  <c r="D283" i="4"/>
  <c r="C283" i="4"/>
  <c r="M282" i="4"/>
  <c r="L282" i="4"/>
  <c r="K282" i="4"/>
  <c r="H282" i="4"/>
  <c r="J282" i="4" s="1"/>
  <c r="G282" i="4"/>
  <c r="F282" i="4"/>
  <c r="O282" i="4" s="1"/>
  <c r="E282" i="4"/>
  <c r="D282" i="4"/>
  <c r="C282" i="4"/>
  <c r="M281" i="4"/>
  <c r="L281" i="4"/>
  <c r="K281" i="4"/>
  <c r="H281" i="4"/>
  <c r="G281" i="4"/>
  <c r="I281" i="4" s="1"/>
  <c r="F281" i="4"/>
  <c r="E281" i="4"/>
  <c r="D281" i="4"/>
  <c r="C281" i="4"/>
  <c r="M280" i="4"/>
  <c r="L280" i="4"/>
  <c r="K280" i="4"/>
  <c r="H280" i="4"/>
  <c r="J280" i="4" s="1"/>
  <c r="G280" i="4"/>
  <c r="F280" i="4"/>
  <c r="O280" i="4" s="1"/>
  <c r="E280" i="4"/>
  <c r="D280" i="4"/>
  <c r="C280" i="4"/>
  <c r="M279" i="4"/>
  <c r="L279" i="4"/>
  <c r="K279" i="4"/>
  <c r="H279" i="4"/>
  <c r="G279" i="4"/>
  <c r="I279" i="4" s="1"/>
  <c r="F279" i="4"/>
  <c r="O279" i="4" s="1"/>
  <c r="E279" i="4"/>
  <c r="D279" i="4"/>
  <c r="C279" i="4"/>
  <c r="F277" i="4"/>
  <c r="E277" i="4"/>
  <c r="D277" i="4"/>
  <c r="C277" i="4"/>
  <c r="F276" i="4"/>
  <c r="E276" i="4"/>
  <c r="D276" i="4"/>
  <c r="C276" i="4"/>
  <c r="H275" i="4"/>
  <c r="G275" i="4"/>
  <c r="F275" i="4"/>
  <c r="E275" i="4"/>
  <c r="D275" i="4"/>
  <c r="C275" i="4"/>
  <c r="H274" i="4"/>
  <c r="G274" i="4"/>
  <c r="F274" i="4"/>
  <c r="E274" i="4"/>
  <c r="D274" i="4"/>
  <c r="C274" i="4"/>
  <c r="H273" i="4"/>
  <c r="G273" i="4"/>
  <c r="F273" i="4"/>
  <c r="E273" i="4"/>
  <c r="D273" i="4"/>
  <c r="C273" i="4"/>
  <c r="L272" i="4"/>
  <c r="K272" i="4"/>
  <c r="H272" i="4"/>
  <c r="G272" i="4"/>
  <c r="F272" i="4"/>
  <c r="E272" i="4"/>
  <c r="D272" i="4"/>
  <c r="C272" i="4"/>
  <c r="L271" i="4"/>
  <c r="K271" i="4"/>
  <c r="H271" i="4"/>
  <c r="G271" i="4"/>
  <c r="F271" i="4"/>
  <c r="E271" i="4"/>
  <c r="D271" i="4"/>
  <c r="C271" i="4"/>
  <c r="L270" i="4"/>
  <c r="K270" i="4"/>
  <c r="H270" i="4"/>
  <c r="G270" i="4"/>
  <c r="F270" i="4"/>
  <c r="E270" i="4"/>
  <c r="D270" i="4"/>
  <c r="C270" i="4"/>
  <c r="M269" i="4"/>
  <c r="L269" i="4"/>
  <c r="K269" i="4"/>
  <c r="H269" i="4"/>
  <c r="G269" i="4"/>
  <c r="F269" i="4"/>
  <c r="E269" i="4"/>
  <c r="D269" i="4"/>
  <c r="C269" i="4"/>
  <c r="M268" i="4"/>
  <c r="L268" i="4"/>
  <c r="K268" i="4"/>
  <c r="H268" i="4"/>
  <c r="G268" i="4"/>
  <c r="F268" i="4"/>
  <c r="E268" i="4"/>
  <c r="D268" i="4"/>
  <c r="C268" i="4"/>
  <c r="F266" i="4"/>
  <c r="E266" i="4"/>
  <c r="D266" i="4"/>
  <c r="C266" i="4"/>
  <c r="F265" i="4"/>
  <c r="E265" i="4"/>
  <c r="D265" i="4"/>
  <c r="C265" i="4"/>
  <c r="H264" i="4"/>
  <c r="G264" i="4"/>
  <c r="F264" i="4"/>
  <c r="E264" i="4"/>
  <c r="D264" i="4"/>
  <c r="C264" i="4"/>
  <c r="H263" i="4"/>
  <c r="G263" i="4"/>
  <c r="F263" i="4"/>
  <c r="J263" i="4" s="1"/>
  <c r="E263" i="4"/>
  <c r="D263" i="4"/>
  <c r="C263" i="4"/>
  <c r="H262" i="4"/>
  <c r="G262" i="4"/>
  <c r="F262" i="4"/>
  <c r="E262" i="4"/>
  <c r="D262" i="4"/>
  <c r="C262" i="4"/>
  <c r="L261" i="4"/>
  <c r="K261" i="4"/>
  <c r="H261" i="4"/>
  <c r="G261" i="4"/>
  <c r="F261" i="4"/>
  <c r="E261" i="4"/>
  <c r="D261" i="4"/>
  <c r="C261" i="4"/>
  <c r="L260" i="4"/>
  <c r="K260" i="4"/>
  <c r="H260" i="4"/>
  <c r="G260" i="4"/>
  <c r="F260" i="4"/>
  <c r="E260" i="4"/>
  <c r="D260" i="4"/>
  <c r="C260" i="4"/>
  <c r="M259" i="4"/>
  <c r="L259" i="4"/>
  <c r="K259" i="4"/>
  <c r="H259" i="4"/>
  <c r="J259" i="4" s="1"/>
  <c r="G259" i="4"/>
  <c r="F259" i="4"/>
  <c r="O259" i="4" s="1"/>
  <c r="E259" i="4"/>
  <c r="D259" i="4"/>
  <c r="C259" i="4"/>
  <c r="M258" i="4"/>
  <c r="L258" i="4"/>
  <c r="K258" i="4"/>
  <c r="H258" i="4"/>
  <c r="G258" i="4"/>
  <c r="I258" i="4" s="1"/>
  <c r="F258" i="4"/>
  <c r="O258" i="4" s="1"/>
  <c r="E258" i="4"/>
  <c r="D258" i="4"/>
  <c r="C258" i="4"/>
  <c r="M257" i="4"/>
  <c r="L257" i="4"/>
  <c r="K257" i="4"/>
  <c r="J257" i="4"/>
  <c r="I257" i="4"/>
  <c r="H257" i="4"/>
  <c r="G257" i="4"/>
  <c r="F257" i="4"/>
  <c r="O257" i="4" s="1"/>
  <c r="E257" i="4"/>
  <c r="D257" i="4"/>
  <c r="C257" i="4"/>
  <c r="N257" i="4" s="1"/>
  <c r="F255" i="4"/>
  <c r="E255" i="4"/>
  <c r="D255" i="4"/>
  <c r="C255" i="4"/>
  <c r="F254" i="4"/>
  <c r="E254" i="4"/>
  <c r="D254" i="4"/>
  <c r="C254" i="4"/>
  <c r="H253" i="4"/>
  <c r="G253" i="4"/>
  <c r="F253" i="4"/>
  <c r="E253" i="4"/>
  <c r="D253" i="4"/>
  <c r="C253" i="4"/>
  <c r="H252" i="4"/>
  <c r="G252" i="4"/>
  <c r="F252" i="4"/>
  <c r="J252" i="4" s="1"/>
  <c r="E252" i="4"/>
  <c r="D252" i="4"/>
  <c r="C252" i="4"/>
  <c r="I252" i="4" s="1"/>
  <c r="L251" i="4"/>
  <c r="O251" i="4" s="1"/>
  <c r="K251" i="4"/>
  <c r="H251" i="4"/>
  <c r="J251" i="4" s="1"/>
  <c r="G251" i="4"/>
  <c r="F251" i="4"/>
  <c r="E251" i="4"/>
  <c r="D251" i="4"/>
  <c r="C251" i="4"/>
  <c r="M250" i="4"/>
  <c r="L250" i="4"/>
  <c r="K250" i="4"/>
  <c r="H250" i="4"/>
  <c r="G250" i="4"/>
  <c r="F250" i="4"/>
  <c r="E250" i="4"/>
  <c r="D250" i="4"/>
  <c r="C250" i="4"/>
  <c r="L249" i="4"/>
  <c r="K249" i="4"/>
  <c r="H249" i="4"/>
  <c r="G249" i="4"/>
  <c r="F249" i="4"/>
  <c r="J249" i="4" s="1"/>
  <c r="E249" i="4"/>
  <c r="D249" i="4"/>
  <c r="C249" i="4"/>
  <c r="M248" i="4"/>
  <c r="L248" i="4"/>
  <c r="K248" i="4"/>
  <c r="H248" i="4"/>
  <c r="G248" i="4"/>
  <c r="I248" i="4" s="1"/>
  <c r="F248" i="4"/>
  <c r="E248" i="4"/>
  <c r="D248" i="4"/>
  <c r="C248" i="4"/>
  <c r="M247" i="4"/>
  <c r="L247" i="4"/>
  <c r="K247" i="4"/>
  <c r="H247" i="4"/>
  <c r="G247" i="4"/>
  <c r="F247" i="4"/>
  <c r="E247" i="4"/>
  <c r="D247" i="4"/>
  <c r="C247" i="4"/>
  <c r="M246" i="4"/>
  <c r="L246" i="4"/>
  <c r="K246" i="4"/>
  <c r="H246" i="4"/>
  <c r="G246" i="4"/>
  <c r="F246" i="4"/>
  <c r="E246" i="4"/>
  <c r="D246" i="4"/>
  <c r="C246" i="4"/>
  <c r="I246" i="4" s="1"/>
  <c r="F244" i="4"/>
  <c r="E244" i="4"/>
  <c r="D244" i="4"/>
  <c r="C244" i="4"/>
  <c r="F243" i="4"/>
  <c r="E243" i="4"/>
  <c r="D243" i="4"/>
  <c r="C243" i="4"/>
  <c r="H242" i="4"/>
  <c r="G242" i="4"/>
  <c r="F242" i="4"/>
  <c r="E242" i="4"/>
  <c r="D242" i="4"/>
  <c r="C242" i="4"/>
  <c r="H241" i="4"/>
  <c r="G241" i="4"/>
  <c r="F241" i="4"/>
  <c r="J241" i="4" s="1"/>
  <c r="E241" i="4"/>
  <c r="D241" i="4"/>
  <c r="C241" i="4"/>
  <c r="H240" i="4"/>
  <c r="G240" i="4"/>
  <c r="F240" i="4"/>
  <c r="E240" i="4"/>
  <c r="D240" i="4"/>
  <c r="C240" i="4"/>
  <c r="L239" i="4"/>
  <c r="K239" i="4"/>
  <c r="H239" i="4"/>
  <c r="G239" i="4"/>
  <c r="F239" i="4"/>
  <c r="E239" i="4"/>
  <c r="D239" i="4"/>
  <c r="C239" i="4"/>
  <c r="L238" i="4"/>
  <c r="K238" i="4"/>
  <c r="H238" i="4"/>
  <c r="G238" i="4"/>
  <c r="F238" i="4"/>
  <c r="O238" i="4" s="1"/>
  <c r="E238" i="4"/>
  <c r="D238" i="4"/>
  <c r="C238" i="4"/>
  <c r="L237" i="4"/>
  <c r="K237" i="4"/>
  <c r="H237" i="4"/>
  <c r="G237" i="4"/>
  <c r="F237" i="4"/>
  <c r="E237" i="4"/>
  <c r="D237" i="4"/>
  <c r="C237" i="4"/>
  <c r="L236" i="4"/>
  <c r="K236" i="4"/>
  <c r="H236" i="4"/>
  <c r="G236" i="4"/>
  <c r="F236" i="4"/>
  <c r="O236" i="4" s="1"/>
  <c r="E236" i="4"/>
  <c r="D236" i="4"/>
  <c r="C236" i="4"/>
  <c r="L235" i="4"/>
  <c r="K235" i="4"/>
  <c r="H235" i="4"/>
  <c r="G235" i="4"/>
  <c r="F235" i="4"/>
  <c r="E235" i="4"/>
  <c r="D235" i="4"/>
  <c r="C235" i="4"/>
  <c r="F233" i="4"/>
  <c r="E233" i="4"/>
  <c r="D233" i="4"/>
  <c r="C233" i="4"/>
  <c r="F232" i="4"/>
  <c r="E232" i="4"/>
  <c r="D232" i="4"/>
  <c r="C232" i="4"/>
  <c r="H231" i="4"/>
  <c r="G231" i="4"/>
  <c r="F231" i="4"/>
  <c r="E231" i="4"/>
  <c r="D231" i="4"/>
  <c r="C231" i="4"/>
  <c r="H230" i="4"/>
  <c r="G230" i="4"/>
  <c r="F230" i="4"/>
  <c r="E230" i="4"/>
  <c r="D230" i="4"/>
  <c r="C230" i="4"/>
  <c r="H229" i="4"/>
  <c r="G229" i="4"/>
  <c r="I229" i="4" s="1"/>
  <c r="F229" i="4"/>
  <c r="E229" i="4"/>
  <c r="D229" i="4"/>
  <c r="C229" i="4"/>
  <c r="L228" i="4"/>
  <c r="K228" i="4"/>
  <c r="H228" i="4"/>
  <c r="G228" i="4"/>
  <c r="F228" i="4"/>
  <c r="E228" i="4"/>
  <c r="D228" i="4"/>
  <c r="C228" i="4"/>
  <c r="L227" i="4"/>
  <c r="K227" i="4"/>
  <c r="H227" i="4"/>
  <c r="G227" i="4"/>
  <c r="F227" i="4"/>
  <c r="E227" i="4"/>
  <c r="D227" i="4"/>
  <c r="C227" i="4"/>
  <c r="L226" i="4"/>
  <c r="K226" i="4"/>
  <c r="H226" i="4"/>
  <c r="G226" i="4"/>
  <c r="F226" i="4"/>
  <c r="E226" i="4"/>
  <c r="D226" i="4"/>
  <c r="C226" i="4"/>
  <c r="M225" i="4"/>
  <c r="L225" i="4"/>
  <c r="O225" i="4" s="1"/>
  <c r="K225" i="4"/>
  <c r="H225" i="4"/>
  <c r="G225" i="4"/>
  <c r="F225" i="4"/>
  <c r="E225" i="4"/>
  <c r="D225" i="4"/>
  <c r="C225" i="4"/>
  <c r="M224" i="4"/>
  <c r="L224" i="4"/>
  <c r="K224" i="4"/>
  <c r="H224" i="4"/>
  <c r="G224" i="4"/>
  <c r="F224" i="4"/>
  <c r="E224" i="4"/>
  <c r="D224" i="4"/>
  <c r="C224" i="4"/>
  <c r="F222" i="4"/>
  <c r="E222" i="4"/>
  <c r="D222" i="4"/>
  <c r="C222" i="4"/>
  <c r="F221" i="4"/>
  <c r="E221" i="4"/>
  <c r="D221" i="4"/>
  <c r="C221" i="4"/>
  <c r="F220" i="4"/>
  <c r="E220" i="4"/>
  <c r="D220" i="4"/>
  <c r="C220" i="4"/>
  <c r="G219" i="4"/>
  <c r="F219" i="4"/>
  <c r="E219" i="4"/>
  <c r="D219" i="4"/>
  <c r="C219" i="4"/>
  <c r="L218" i="4"/>
  <c r="K218" i="4"/>
  <c r="H218" i="4"/>
  <c r="G218" i="4"/>
  <c r="F218" i="4"/>
  <c r="O218" i="4" s="1"/>
  <c r="E218" i="4"/>
  <c r="D218" i="4"/>
  <c r="C218" i="4"/>
  <c r="M217" i="4"/>
  <c r="D631" i="4" s="1"/>
  <c r="L217" i="4"/>
  <c r="K217" i="4"/>
  <c r="G217" i="4"/>
  <c r="F217" i="4"/>
  <c r="E217" i="4"/>
  <c r="D217" i="4"/>
  <c r="C217" i="4"/>
  <c r="N217" i="4" s="1"/>
  <c r="M216" i="4"/>
  <c r="L216" i="4"/>
  <c r="K216" i="4"/>
  <c r="H216" i="4"/>
  <c r="G216" i="4"/>
  <c r="F216" i="4"/>
  <c r="E216" i="4"/>
  <c r="D216" i="4"/>
  <c r="C216" i="4"/>
  <c r="I216" i="4" s="1"/>
  <c r="M215" i="4"/>
  <c r="L215" i="4"/>
  <c r="K215" i="4"/>
  <c r="H215" i="4"/>
  <c r="G215" i="4"/>
  <c r="F215" i="4"/>
  <c r="J215" i="4" s="1"/>
  <c r="E215" i="4"/>
  <c r="D215" i="4"/>
  <c r="C215" i="4"/>
  <c r="I215" i="4" s="1"/>
  <c r="M214" i="4"/>
  <c r="L214" i="4"/>
  <c r="K214" i="4"/>
  <c r="H214" i="4"/>
  <c r="G214" i="4"/>
  <c r="F214" i="4"/>
  <c r="E214" i="4"/>
  <c r="D214" i="4"/>
  <c r="C214" i="4"/>
  <c r="M213" i="4"/>
  <c r="L213" i="4"/>
  <c r="K213" i="4"/>
  <c r="H213" i="4"/>
  <c r="G213" i="4"/>
  <c r="F213" i="4"/>
  <c r="E213" i="4"/>
  <c r="D213" i="4"/>
  <c r="C213" i="4"/>
  <c r="F211" i="4"/>
  <c r="E211" i="4"/>
  <c r="L662" i="4" s="1"/>
  <c r="D211" i="4"/>
  <c r="K662" i="4" s="1"/>
  <c r="C211" i="4"/>
  <c r="F210" i="4"/>
  <c r="E210" i="4"/>
  <c r="D210" i="4"/>
  <c r="C210" i="4"/>
  <c r="H209" i="4"/>
  <c r="G209" i="4"/>
  <c r="F209" i="4"/>
  <c r="E209" i="4"/>
  <c r="L660" i="4" s="1"/>
  <c r="D209" i="4"/>
  <c r="K660" i="4" s="1"/>
  <c r="C209" i="4"/>
  <c r="H208" i="4"/>
  <c r="G208" i="4"/>
  <c r="F208" i="4"/>
  <c r="E208" i="4"/>
  <c r="D208" i="4"/>
  <c r="C208" i="4"/>
  <c r="H207" i="4"/>
  <c r="G207" i="4"/>
  <c r="F207" i="4"/>
  <c r="E207" i="4"/>
  <c r="D207" i="4"/>
  <c r="K658" i="4" s="1"/>
  <c r="C207" i="4"/>
  <c r="J658" i="4" s="1"/>
  <c r="L206" i="4"/>
  <c r="K206" i="4"/>
  <c r="H206" i="4"/>
  <c r="G206" i="4"/>
  <c r="F206" i="4"/>
  <c r="O206" i="4" s="1"/>
  <c r="E206" i="4"/>
  <c r="D206" i="4"/>
  <c r="C206" i="4"/>
  <c r="M205" i="4"/>
  <c r="D656" i="4" s="1"/>
  <c r="L205" i="4"/>
  <c r="E656" i="4" s="1"/>
  <c r="K205" i="4"/>
  <c r="C656" i="4" s="1"/>
  <c r="H205" i="4"/>
  <c r="G205" i="4"/>
  <c r="F205" i="4"/>
  <c r="E205" i="4"/>
  <c r="D205" i="4"/>
  <c r="C205" i="4"/>
  <c r="L204" i="4"/>
  <c r="K204" i="4"/>
  <c r="H204" i="4"/>
  <c r="G204" i="4"/>
  <c r="F204" i="4"/>
  <c r="E204" i="4"/>
  <c r="D204" i="4"/>
  <c r="K655" i="4" s="1"/>
  <c r="C204" i="4"/>
  <c r="J655" i="4" s="1"/>
  <c r="M203" i="4"/>
  <c r="D654" i="4" s="1"/>
  <c r="L203" i="4"/>
  <c r="K203" i="4"/>
  <c r="H203" i="4"/>
  <c r="H654" i="4" s="1"/>
  <c r="G203" i="4"/>
  <c r="F203" i="4"/>
  <c r="E203" i="4"/>
  <c r="D203" i="4"/>
  <c r="K654" i="4" s="1"/>
  <c r="C203" i="4"/>
  <c r="M202" i="4"/>
  <c r="D653" i="4" s="1"/>
  <c r="L202" i="4"/>
  <c r="O202" i="4" s="1"/>
  <c r="K202" i="4"/>
  <c r="H202" i="4"/>
  <c r="H653" i="4" s="1"/>
  <c r="G202" i="4"/>
  <c r="G653" i="4" s="1"/>
  <c r="F202" i="4"/>
  <c r="E202" i="4"/>
  <c r="D202" i="4"/>
  <c r="C202" i="4"/>
  <c r="F200" i="4"/>
  <c r="E200" i="4"/>
  <c r="D200" i="4"/>
  <c r="C200" i="4"/>
  <c r="F199" i="4"/>
  <c r="E199" i="4"/>
  <c r="D199" i="4"/>
  <c r="C199" i="4"/>
  <c r="H198" i="4"/>
  <c r="G198" i="4"/>
  <c r="F198" i="4"/>
  <c r="E198" i="4"/>
  <c r="D198" i="4"/>
  <c r="C198" i="4"/>
  <c r="H197" i="4"/>
  <c r="G197" i="4"/>
  <c r="G646" i="4" s="1"/>
  <c r="F197" i="4"/>
  <c r="E197" i="4"/>
  <c r="D197" i="4"/>
  <c r="C197" i="4"/>
  <c r="H196" i="4"/>
  <c r="G196" i="4"/>
  <c r="F196" i="4"/>
  <c r="E196" i="4"/>
  <c r="D196" i="4"/>
  <c r="C196" i="4"/>
  <c r="L195" i="4"/>
  <c r="K195" i="4"/>
  <c r="H195" i="4"/>
  <c r="G195" i="4"/>
  <c r="F195" i="4"/>
  <c r="E195" i="4"/>
  <c r="D195" i="4"/>
  <c r="C195" i="4"/>
  <c r="L194" i="4"/>
  <c r="K194" i="4"/>
  <c r="H194" i="4"/>
  <c r="G194" i="4"/>
  <c r="F194" i="4"/>
  <c r="E194" i="4"/>
  <c r="D194" i="4"/>
  <c r="C194" i="4"/>
  <c r="L193" i="4"/>
  <c r="K193" i="4"/>
  <c r="H193" i="4"/>
  <c r="G193" i="4"/>
  <c r="G642" i="4" s="1"/>
  <c r="F193" i="4"/>
  <c r="E193" i="4"/>
  <c r="D193" i="4"/>
  <c r="C193" i="4"/>
  <c r="M192" i="4"/>
  <c r="L192" i="4"/>
  <c r="K192" i="4"/>
  <c r="H192" i="4"/>
  <c r="G192" i="4"/>
  <c r="F192" i="4"/>
  <c r="E192" i="4"/>
  <c r="D192" i="4"/>
  <c r="C192" i="4"/>
  <c r="M191" i="4"/>
  <c r="L191" i="4"/>
  <c r="K191" i="4"/>
  <c r="H191" i="4"/>
  <c r="H640" i="4" s="1"/>
  <c r="G191" i="4"/>
  <c r="G640" i="4" s="1"/>
  <c r="F191" i="4"/>
  <c r="E191" i="4"/>
  <c r="D191" i="4"/>
  <c r="C191" i="4"/>
  <c r="F189" i="4"/>
  <c r="E189" i="4"/>
  <c r="D189" i="4"/>
  <c r="C189" i="4"/>
  <c r="F188" i="4"/>
  <c r="E188" i="4"/>
  <c r="D188" i="4"/>
  <c r="C188" i="4"/>
  <c r="G187" i="4"/>
  <c r="F187" i="4"/>
  <c r="E187" i="4"/>
  <c r="D187" i="4"/>
  <c r="C187" i="4"/>
  <c r="G186" i="4"/>
  <c r="F186" i="4"/>
  <c r="E186" i="4"/>
  <c r="D186" i="4"/>
  <c r="C186" i="4"/>
  <c r="L185" i="4"/>
  <c r="K185" i="4"/>
  <c r="H185" i="4"/>
  <c r="G185" i="4"/>
  <c r="F185" i="4"/>
  <c r="E185" i="4"/>
  <c r="D185" i="4"/>
  <c r="C185" i="4"/>
  <c r="L184" i="4"/>
  <c r="K184" i="4"/>
  <c r="H184" i="4"/>
  <c r="G184" i="4"/>
  <c r="F184" i="4"/>
  <c r="E184" i="4"/>
  <c r="D184" i="4"/>
  <c r="C184" i="4"/>
  <c r="M183" i="4"/>
  <c r="L183" i="4"/>
  <c r="K183" i="4"/>
  <c r="H183" i="4"/>
  <c r="G183" i="4"/>
  <c r="F183" i="4"/>
  <c r="E183" i="4"/>
  <c r="D183" i="4"/>
  <c r="C183" i="4"/>
  <c r="I183" i="4" s="1"/>
  <c r="M182" i="4"/>
  <c r="L182" i="4"/>
  <c r="K182" i="4"/>
  <c r="H182" i="4"/>
  <c r="G182" i="4"/>
  <c r="G629" i="4" s="1"/>
  <c r="F182" i="4"/>
  <c r="E182" i="4"/>
  <c r="D182" i="4"/>
  <c r="C182" i="4"/>
  <c r="M181" i="4"/>
  <c r="L181" i="4"/>
  <c r="K181" i="4"/>
  <c r="H181" i="4"/>
  <c r="G181" i="4"/>
  <c r="F181" i="4"/>
  <c r="E181" i="4"/>
  <c r="D181" i="4"/>
  <c r="C181" i="4"/>
  <c r="M180" i="4"/>
  <c r="D627" i="4" s="1"/>
  <c r="L180" i="4"/>
  <c r="K180" i="4"/>
  <c r="H180" i="4"/>
  <c r="G180" i="4"/>
  <c r="F180" i="4"/>
  <c r="E180" i="4"/>
  <c r="D180" i="4"/>
  <c r="C180" i="4"/>
  <c r="F175" i="4"/>
  <c r="M569" i="4" s="1"/>
  <c r="E175" i="4"/>
  <c r="L569" i="4" s="1"/>
  <c r="D175" i="4"/>
  <c r="K569" i="4" s="1"/>
  <c r="C175" i="4"/>
  <c r="J569" i="4" s="1"/>
  <c r="F174" i="4"/>
  <c r="M556" i="4" s="1"/>
  <c r="E174" i="4"/>
  <c r="L556" i="4" s="1"/>
  <c r="D174" i="4"/>
  <c r="K556" i="4" s="1"/>
  <c r="C174" i="4"/>
  <c r="J556" i="4" s="1"/>
  <c r="F173" i="4"/>
  <c r="M543" i="4" s="1"/>
  <c r="E173" i="4"/>
  <c r="L543" i="4" s="1"/>
  <c r="D173" i="4"/>
  <c r="K543" i="4" s="1"/>
  <c r="C173" i="4"/>
  <c r="J543" i="4" s="1"/>
  <c r="F170" i="4"/>
  <c r="E170" i="4"/>
  <c r="D170" i="4"/>
  <c r="C170" i="4"/>
  <c r="F169" i="4"/>
  <c r="E169" i="4"/>
  <c r="D169" i="4"/>
  <c r="C169" i="4"/>
  <c r="H168" i="4"/>
  <c r="G168" i="4"/>
  <c r="F168" i="4"/>
  <c r="E168" i="4"/>
  <c r="D168" i="4"/>
  <c r="C168" i="4"/>
  <c r="J167" i="4"/>
  <c r="I167" i="4"/>
  <c r="H167" i="4"/>
  <c r="G167" i="4"/>
  <c r="F167" i="4"/>
  <c r="E167" i="4"/>
  <c r="D167" i="4"/>
  <c r="C167" i="4"/>
  <c r="L166" i="4"/>
  <c r="K166" i="4"/>
  <c r="H166" i="4"/>
  <c r="G166" i="4"/>
  <c r="F166" i="4"/>
  <c r="E166" i="4"/>
  <c r="D166" i="4"/>
  <c r="C166" i="4"/>
  <c r="L165" i="4"/>
  <c r="K165" i="4"/>
  <c r="H165" i="4"/>
  <c r="G165" i="4"/>
  <c r="F165" i="4"/>
  <c r="E165" i="4"/>
  <c r="D165" i="4"/>
  <c r="C165" i="4"/>
  <c r="L164" i="4"/>
  <c r="K164" i="4"/>
  <c r="H164" i="4"/>
  <c r="G164" i="4"/>
  <c r="F164" i="4"/>
  <c r="E164" i="4"/>
  <c r="D164" i="4"/>
  <c r="C164" i="4"/>
  <c r="M163" i="4"/>
  <c r="L163" i="4"/>
  <c r="K163" i="4"/>
  <c r="H163" i="4"/>
  <c r="G163" i="4"/>
  <c r="F163" i="4"/>
  <c r="E163" i="4"/>
  <c r="D163" i="4"/>
  <c r="C163" i="4"/>
  <c r="L162" i="4"/>
  <c r="O162" i="4" s="1"/>
  <c r="K162" i="4"/>
  <c r="H162" i="4"/>
  <c r="G162" i="4"/>
  <c r="F162" i="4"/>
  <c r="J162" i="4" s="1"/>
  <c r="E162" i="4"/>
  <c r="D162" i="4"/>
  <c r="C162" i="4"/>
  <c r="L161" i="4"/>
  <c r="K161" i="4"/>
  <c r="H161" i="4"/>
  <c r="G161" i="4"/>
  <c r="F161" i="4"/>
  <c r="E161" i="4"/>
  <c r="D161" i="4"/>
  <c r="C161" i="4"/>
  <c r="F159" i="4"/>
  <c r="E159" i="4"/>
  <c r="D159" i="4"/>
  <c r="C159" i="4"/>
  <c r="F158" i="4"/>
  <c r="E158" i="4"/>
  <c r="D158" i="4"/>
  <c r="C158" i="4"/>
  <c r="H157" i="4"/>
  <c r="J157" i="4" s="1"/>
  <c r="G157" i="4"/>
  <c r="F157" i="4"/>
  <c r="E157" i="4"/>
  <c r="D157" i="4"/>
  <c r="C157" i="4"/>
  <c r="I156" i="4"/>
  <c r="H156" i="4"/>
  <c r="G156" i="4"/>
  <c r="F156" i="4"/>
  <c r="J156" i="4" s="1"/>
  <c r="E156" i="4"/>
  <c r="D156" i="4"/>
  <c r="C156" i="4"/>
  <c r="L155" i="4"/>
  <c r="K155" i="4"/>
  <c r="H155" i="4"/>
  <c r="G155" i="4"/>
  <c r="I155" i="4" s="1"/>
  <c r="F155" i="4"/>
  <c r="E155" i="4"/>
  <c r="D155" i="4"/>
  <c r="C155" i="4"/>
  <c r="L154" i="4"/>
  <c r="K154" i="4"/>
  <c r="H154" i="4"/>
  <c r="G154" i="4"/>
  <c r="F154" i="4"/>
  <c r="J154" i="4" s="1"/>
  <c r="E154" i="4"/>
  <c r="D154" i="4"/>
  <c r="C154" i="4"/>
  <c r="M153" i="4"/>
  <c r="L153" i="4"/>
  <c r="K153" i="4"/>
  <c r="H153" i="4"/>
  <c r="G153" i="4"/>
  <c r="F153" i="4"/>
  <c r="E153" i="4"/>
  <c r="D153" i="4"/>
  <c r="C153" i="4"/>
  <c r="M152" i="4"/>
  <c r="L152" i="4"/>
  <c r="K152" i="4"/>
  <c r="H152" i="4"/>
  <c r="G152" i="4"/>
  <c r="F152" i="4"/>
  <c r="O152" i="4" s="1"/>
  <c r="E152" i="4"/>
  <c r="D152" i="4"/>
  <c r="C152" i="4"/>
  <c r="M151" i="4"/>
  <c r="L151" i="4"/>
  <c r="K151" i="4"/>
  <c r="H151" i="4"/>
  <c r="G151" i="4"/>
  <c r="F151" i="4"/>
  <c r="J151" i="4" s="1"/>
  <c r="E151" i="4"/>
  <c r="D151" i="4"/>
  <c r="C151" i="4"/>
  <c r="N151" i="4" s="1"/>
  <c r="M150" i="4"/>
  <c r="L150" i="4"/>
  <c r="K150" i="4"/>
  <c r="H150" i="4"/>
  <c r="G150" i="4"/>
  <c r="I150" i="4" s="1"/>
  <c r="F150" i="4"/>
  <c r="O150" i="4" s="1"/>
  <c r="E150" i="4"/>
  <c r="D150" i="4"/>
  <c r="C150" i="4"/>
  <c r="F148" i="4"/>
  <c r="E148" i="4"/>
  <c r="D148" i="4"/>
  <c r="C148" i="4"/>
  <c r="M147" i="4"/>
  <c r="L147" i="4"/>
  <c r="K147" i="4"/>
  <c r="F147" i="4"/>
  <c r="E147" i="4"/>
  <c r="D147" i="4"/>
  <c r="C147" i="4"/>
  <c r="M146" i="4"/>
  <c r="L146" i="4"/>
  <c r="K146" i="4"/>
  <c r="H146" i="4"/>
  <c r="G146" i="4"/>
  <c r="F146" i="4"/>
  <c r="J146" i="4" s="1"/>
  <c r="E146" i="4"/>
  <c r="D146" i="4"/>
  <c r="C146" i="4"/>
  <c r="M145" i="4"/>
  <c r="L145" i="4"/>
  <c r="K145" i="4"/>
  <c r="H145" i="4"/>
  <c r="G145" i="4"/>
  <c r="F145" i="4"/>
  <c r="E145" i="4"/>
  <c r="D145" i="4"/>
  <c r="C145" i="4"/>
  <c r="M144" i="4"/>
  <c r="L144" i="4"/>
  <c r="K144" i="4"/>
  <c r="H144" i="4"/>
  <c r="G144" i="4"/>
  <c r="F144" i="4"/>
  <c r="E144" i="4"/>
  <c r="D144" i="4"/>
  <c r="C144" i="4"/>
  <c r="M143" i="4"/>
  <c r="L143" i="4"/>
  <c r="K143" i="4"/>
  <c r="H143" i="4"/>
  <c r="G143" i="4"/>
  <c r="F143" i="4"/>
  <c r="E143" i="4"/>
  <c r="D143" i="4"/>
  <c r="C143" i="4"/>
  <c r="O142" i="4"/>
  <c r="M142" i="4"/>
  <c r="L142" i="4"/>
  <c r="K142" i="4"/>
  <c r="H142" i="4"/>
  <c r="G142" i="4"/>
  <c r="F142" i="4"/>
  <c r="E142" i="4"/>
  <c r="D142" i="4"/>
  <c r="C142" i="4"/>
  <c r="M141" i="4"/>
  <c r="L141" i="4"/>
  <c r="K141" i="4"/>
  <c r="H141" i="4"/>
  <c r="G141" i="4"/>
  <c r="F141" i="4"/>
  <c r="O141" i="4" s="1"/>
  <c r="E141" i="4"/>
  <c r="D141" i="4"/>
  <c r="C141" i="4"/>
  <c r="M140" i="4"/>
  <c r="L140" i="4"/>
  <c r="K140" i="4"/>
  <c r="H140" i="4"/>
  <c r="G140" i="4"/>
  <c r="F140" i="4"/>
  <c r="J140" i="4" s="1"/>
  <c r="E140" i="4"/>
  <c r="D140" i="4"/>
  <c r="C140" i="4"/>
  <c r="M139" i="4"/>
  <c r="L139" i="4"/>
  <c r="K139" i="4"/>
  <c r="H139" i="4"/>
  <c r="G139" i="4"/>
  <c r="F139" i="4"/>
  <c r="E139" i="4"/>
  <c r="D139" i="4"/>
  <c r="C139" i="4"/>
  <c r="F137" i="4"/>
  <c r="E137" i="4"/>
  <c r="D137" i="4"/>
  <c r="C137" i="4"/>
  <c r="F136" i="4"/>
  <c r="E136" i="4"/>
  <c r="D136" i="4"/>
  <c r="C136" i="4"/>
  <c r="H135" i="4"/>
  <c r="G135" i="4"/>
  <c r="F135" i="4"/>
  <c r="E135" i="4"/>
  <c r="D135" i="4"/>
  <c r="C135" i="4"/>
  <c r="H134" i="4"/>
  <c r="J134" i="4" s="1"/>
  <c r="G134" i="4"/>
  <c r="F134" i="4"/>
  <c r="E134" i="4"/>
  <c r="D134" i="4"/>
  <c r="C134" i="4"/>
  <c r="I134" i="4" s="1"/>
  <c r="L133" i="4"/>
  <c r="O133" i="4" s="1"/>
  <c r="K133" i="4"/>
  <c r="H133" i="4"/>
  <c r="G133" i="4"/>
  <c r="F133" i="4"/>
  <c r="E133" i="4"/>
  <c r="D133" i="4"/>
  <c r="C133" i="4"/>
  <c r="L132" i="4"/>
  <c r="K132" i="4"/>
  <c r="H132" i="4"/>
  <c r="G132" i="4"/>
  <c r="F132" i="4"/>
  <c r="J132" i="4" s="1"/>
  <c r="E132" i="4"/>
  <c r="D132" i="4"/>
  <c r="C132" i="4"/>
  <c r="L131" i="4"/>
  <c r="K131" i="4"/>
  <c r="H131" i="4"/>
  <c r="G131" i="4"/>
  <c r="F131" i="4"/>
  <c r="J131" i="4" s="1"/>
  <c r="E131" i="4"/>
  <c r="D131" i="4"/>
  <c r="C131" i="4"/>
  <c r="L130" i="4"/>
  <c r="K130" i="4"/>
  <c r="H130" i="4"/>
  <c r="G130" i="4"/>
  <c r="F130" i="4"/>
  <c r="J130" i="4" s="1"/>
  <c r="D130" i="4"/>
  <c r="C130" i="4"/>
  <c r="M129" i="4"/>
  <c r="L129" i="4"/>
  <c r="K129" i="4"/>
  <c r="H129" i="4"/>
  <c r="G129" i="4"/>
  <c r="F129" i="4"/>
  <c r="E129" i="4"/>
  <c r="D129" i="4"/>
  <c r="C129" i="4"/>
  <c r="I129" i="4" s="1"/>
  <c r="M128" i="4"/>
  <c r="L128" i="4"/>
  <c r="K128" i="4"/>
  <c r="H128" i="4"/>
  <c r="G128" i="4"/>
  <c r="F128" i="4"/>
  <c r="E128" i="4"/>
  <c r="D128" i="4"/>
  <c r="C128" i="4"/>
  <c r="F126" i="4"/>
  <c r="E126" i="4"/>
  <c r="D126" i="4"/>
  <c r="C126" i="4"/>
  <c r="F125" i="4"/>
  <c r="E125" i="4"/>
  <c r="D125" i="4"/>
  <c r="C125" i="4"/>
  <c r="H124" i="4"/>
  <c r="G124" i="4"/>
  <c r="F124" i="4"/>
  <c r="E124" i="4"/>
  <c r="D124" i="4"/>
  <c r="C124" i="4"/>
  <c r="H123" i="4"/>
  <c r="J123" i="4" s="1"/>
  <c r="G123" i="4"/>
  <c r="F123" i="4"/>
  <c r="E123" i="4"/>
  <c r="D123" i="4"/>
  <c r="C123" i="4"/>
  <c r="L122" i="4"/>
  <c r="K122" i="4"/>
  <c r="H122" i="4"/>
  <c r="J122" i="4" s="1"/>
  <c r="G122" i="4"/>
  <c r="F122" i="4"/>
  <c r="E122" i="4"/>
  <c r="D122" i="4"/>
  <c r="C122" i="4"/>
  <c r="L121" i="4"/>
  <c r="K121" i="4"/>
  <c r="H121" i="4"/>
  <c r="G121" i="4"/>
  <c r="F121" i="4"/>
  <c r="J121" i="4" s="1"/>
  <c r="E121" i="4"/>
  <c r="D121" i="4"/>
  <c r="C121" i="4"/>
  <c r="M120" i="4"/>
  <c r="L120" i="4"/>
  <c r="K120" i="4"/>
  <c r="H120" i="4"/>
  <c r="G120" i="4"/>
  <c r="F120" i="4"/>
  <c r="O120" i="4" s="1"/>
  <c r="E120" i="4"/>
  <c r="D120" i="4"/>
  <c r="C120" i="4"/>
  <c r="N120" i="4" s="1"/>
  <c r="M119" i="4"/>
  <c r="L119" i="4"/>
  <c r="K119" i="4"/>
  <c r="H119" i="4"/>
  <c r="G119" i="4"/>
  <c r="I119" i="4" s="1"/>
  <c r="F119" i="4"/>
  <c r="J119" i="4" s="1"/>
  <c r="E119" i="4"/>
  <c r="D119" i="4"/>
  <c r="C119" i="4"/>
  <c r="M118" i="4"/>
  <c r="L118" i="4"/>
  <c r="K118" i="4"/>
  <c r="H118" i="4"/>
  <c r="G118" i="4"/>
  <c r="F118" i="4"/>
  <c r="J118" i="4" s="1"/>
  <c r="E118" i="4"/>
  <c r="D118" i="4"/>
  <c r="C118" i="4"/>
  <c r="N118" i="4" s="1"/>
  <c r="M117" i="4"/>
  <c r="L117" i="4"/>
  <c r="K117" i="4"/>
  <c r="H117" i="4"/>
  <c r="H546" i="4" s="1"/>
  <c r="G117" i="4"/>
  <c r="F117" i="4"/>
  <c r="O117" i="4" s="1"/>
  <c r="E117" i="4"/>
  <c r="D117" i="4"/>
  <c r="C117" i="4"/>
  <c r="F115" i="4"/>
  <c r="E115" i="4"/>
  <c r="D115" i="4"/>
  <c r="C115" i="4"/>
  <c r="M114" i="4"/>
  <c r="L114" i="4"/>
  <c r="K114" i="4"/>
  <c r="F114" i="4"/>
  <c r="E114" i="4"/>
  <c r="D114" i="4"/>
  <c r="C114" i="4"/>
  <c r="M113" i="4"/>
  <c r="L113" i="4"/>
  <c r="K113" i="4"/>
  <c r="H113" i="4"/>
  <c r="G113" i="4"/>
  <c r="F113" i="4"/>
  <c r="O113" i="4" s="1"/>
  <c r="E113" i="4"/>
  <c r="D113" i="4"/>
  <c r="C113" i="4"/>
  <c r="N113" i="4" s="1"/>
  <c r="M112" i="4"/>
  <c r="L112" i="4"/>
  <c r="K112" i="4"/>
  <c r="H112" i="4"/>
  <c r="G112" i="4"/>
  <c r="F112" i="4"/>
  <c r="J112" i="4" s="1"/>
  <c r="E112" i="4"/>
  <c r="D112" i="4"/>
  <c r="C112" i="4"/>
  <c r="M111" i="4"/>
  <c r="L111" i="4"/>
  <c r="K111" i="4"/>
  <c r="H111" i="4"/>
  <c r="G111" i="4"/>
  <c r="F111" i="4"/>
  <c r="J111" i="4" s="1"/>
  <c r="E111" i="4"/>
  <c r="D111" i="4"/>
  <c r="C111" i="4"/>
  <c r="N111" i="4" s="1"/>
  <c r="M110" i="4"/>
  <c r="L110" i="4"/>
  <c r="K110" i="4"/>
  <c r="H110" i="4"/>
  <c r="G110" i="4"/>
  <c r="F110" i="4"/>
  <c r="J110" i="4" s="1"/>
  <c r="E110" i="4"/>
  <c r="D110" i="4"/>
  <c r="C110" i="4"/>
  <c r="I110" i="4" s="1"/>
  <c r="M109" i="4"/>
  <c r="L109" i="4"/>
  <c r="K109" i="4"/>
  <c r="H109" i="4"/>
  <c r="G109" i="4"/>
  <c r="F109" i="4"/>
  <c r="J109" i="4" s="1"/>
  <c r="E109" i="4"/>
  <c r="D109" i="4"/>
  <c r="C109" i="4"/>
  <c r="N109" i="4" s="1"/>
  <c r="M108" i="4"/>
  <c r="L108" i="4"/>
  <c r="K108" i="4"/>
  <c r="H108" i="4"/>
  <c r="G108" i="4"/>
  <c r="F108" i="4"/>
  <c r="J108" i="4" s="1"/>
  <c r="E108" i="4"/>
  <c r="D108" i="4"/>
  <c r="C108" i="4"/>
  <c r="I108" i="4" s="1"/>
  <c r="M107" i="4"/>
  <c r="L107" i="4"/>
  <c r="K107" i="4"/>
  <c r="H107" i="4"/>
  <c r="G107" i="4"/>
  <c r="F107" i="4"/>
  <c r="E107" i="4"/>
  <c r="D107" i="4"/>
  <c r="C107" i="4"/>
  <c r="M106" i="4"/>
  <c r="L106" i="4"/>
  <c r="K106" i="4"/>
  <c r="H106" i="4"/>
  <c r="G106" i="4"/>
  <c r="F106" i="4"/>
  <c r="E106" i="4"/>
  <c r="D106" i="4"/>
  <c r="C106" i="4"/>
  <c r="I106" i="4" s="1"/>
  <c r="F104" i="4"/>
  <c r="E104" i="4"/>
  <c r="D104" i="4"/>
  <c r="C104" i="4"/>
  <c r="F103" i="4"/>
  <c r="E103" i="4"/>
  <c r="D103" i="4"/>
  <c r="C103" i="4"/>
  <c r="H102" i="4"/>
  <c r="G102" i="4"/>
  <c r="F102" i="4"/>
  <c r="E102" i="4"/>
  <c r="D102" i="4"/>
  <c r="C102" i="4"/>
  <c r="H101" i="4"/>
  <c r="G101" i="4"/>
  <c r="F101" i="4"/>
  <c r="E101" i="4"/>
  <c r="D101" i="4"/>
  <c r="C101" i="4"/>
  <c r="I101" i="4" s="1"/>
  <c r="L100" i="4"/>
  <c r="K100" i="4"/>
  <c r="H100" i="4"/>
  <c r="G100" i="4"/>
  <c r="F100" i="4"/>
  <c r="E100" i="4"/>
  <c r="D100" i="4"/>
  <c r="C100" i="4"/>
  <c r="L99" i="4"/>
  <c r="K99" i="4"/>
  <c r="H99" i="4"/>
  <c r="G99" i="4"/>
  <c r="F99" i="4"/>
  <c r="J99" i="4" s="1"/>
  <c r="E99" i="4"/>
  <c r="D99" i="4"/>
  <c r="C99" i="4"/>
  <c r="L98" i="4"/>
  <c r="K98" i="4"/>
  <c r="H98" i="4"/>
  <c r="G98" i="4"/>
  <c r="F98" i="4"/>
  <c r="J98" i="4" s="1"/>
  <c r="E98" i="4"/>
  <c r="D98" i="4"/>
  <c r="C98" i="4"/>
  <c r="L97" i="4"/>
  <c r="K97" i="4"/>
  <c r="H97" i="4"/>
  <c r="G97" i="4"/>
  <c r="F97" i="4"/>
  <c r="E97" i="4"/>
  <c r="D97" i="4"/>
  <c r="C97" i="4"/>
  <c r="M96" i="4"/>
  <c r="L96" i="4"/>
  <c r="K96" i="4"/>
  <c r="H96" i="4"/>
  <c r="G96" i="4"/>
  <c r="F96" i="4"/>
  <c r="E96" i="4"/>
  <c r="D96" i="4"/>
  <c r="C96" i="4"/>
  <c r="L95" i="4"/>
  <c r="K95" i="4"/>
  <c r="H95" i="4"/>
  <c r="G95" i="4"/>
  <c r="F95" i="4"/>
  <c r="E95" i="4"/>
  <c r="D95" i="4"/>
  <c r="C95" i="4"/>
  <c r="F93" i="4"/>
  <c r="E93" i="4"/>
  <c r="D93" i="4"/>
  <c r="C93" i="4"/>
  <c r="F92" i="4"/>
  <c r="E92" i="4"/>
  <c r="D92" i="4"/>
  <c r="C92" i="4"/>
  <c r="H91" i="4"/>
  <c r="G91" i="4"/>
  <c r="F91" i="4"/>
  <c r="E91" i="4"/>
  <c r="D91" i="4"/>
  <c r="C91" i="4"/>
  <c r="H90" i="4"/>
  <c r="G90" i="4"/>
  <c r="F90" i="4"/>
  <c r="E90" i="4"/>
  <c r="D90" i="4"/>
  <c r="C90" i="4"/>
  <c r="L89" i="4"/>
  <c r="K89" i="4"/>
  <c r="H89" i="4"/>
  <c r="G89" i="4"/>
  <c r="F89" i="4"/>
  <c r="E89" i="4"/>
  <c r="D89" i="4"/>
  <c r="C89" i="4"/>
  <c r="L88" i="4"/>
  <c r="K88" i="4"/>
  <c r="H88" i="4"/>
  <c r="G88" i="4"/>
  <c r="F88" i="4"/>
  <c r="E88" i="4"/>
  <c r="D88" i="4"/>
  <c r="C88" i="4"/>
  <c r="I88" i="4" s="1"/>
  <c r="M87" i="4"/>
  <c r="L87" i="4"/>
  <c r="K87" i="4"/>
  <c r="H87" i="4"/>
  <c r="G87" i="4"/>
  <c r="F87" i="4"/>
  <c r="E87" i="4"/>
  <c r="D87" i="4"/>
  <c r="C87" i="4"/>
  <c r="N87" i="4" s="1"/>
  <c r="M86" i="4"/>
  <c r="L86" i="4"/>
  <c r="K86" i="4"/>
  <c r="H86" i="4"/>
  <c r="G86" i="4"/>
  <c r="F86" i="4"/>
  <c r="O86" i="4" s="1"/>
  <c r="E86" i="4"/>
  <c r="D86" i="4"/>
  <c r="C86" i="4"/>
  <c r="I86" i="4" s="1"/>
  <c r="O85" i="4"/>
  <c r="M85" i="4"/>
  <c r="L85" i="4"/>
  <c r="K85" i="4"/>
  <c r="H85" i="4"/>
  <c r="G85" i="4"/>
  <c r="F85" i="4"/>
  <c r="E85" i="4"/>
  <c r="D85" i="4"/>
  <c r="C85" i="4"/>
  <c r="I85" i="4" s="1"/>
  <c r="M84" i="4"/>
  <c r="L84" i="4"/>
  <c r="K84" i="4"/>
  <c r="H84" i="4"/>
  <c r="G84" i="4"/>
  <c r="F84" i="4"/>
  <c r="J84" i="4" s="1"/>
  <c r="E84" i="4"/>
  <c r="D84" i="4"/>
  <c r="C84" i="4"/>
  <c r="I84" i="4" s="1"/>
  <c r="F82" i="4"/>
  <c r="E82" i="4"/>
  <c r="D82" i="4"/>
  <c r="C82" i="4"/>
  <c r="M81" i="4"/>
  <c r="L81" i="4"/>
  <c r="K81" i="4"/>
  <c r="F81" i="4"/>
  <c r="O81" i="4" s="1"/>
  <c r="E81" i="4"/>
  <c r="D81" i="4"/>
  <c r="C81" i="4"/>
  <c r="M80" i="4"/>
  <c r="L80" i="4"/>
  <c r="K80" i="4"/>
  <c r="H80" i="4"/>
  <c r="G80" i="4"/>
  <c r="F80" i="4"/>
  <c r="O80" i="4" s="1"/>
  <c r="E80" i="4"/>
  <c r="D80" i="4"/>
  <c r="C80" i="4"/>
  <c r="N80" i="4" s="1"/>
  <c r="M79" i="4"/>
  <c r="L79" i="4"/>
  <c r="K79" i="4"/>
  <c r="H79" i="4"/>
  <c r="G79" i="4"/>
  <c r="F79" i="4"/>
  <c r="O79" i="4" s="1"/>
  <c r="E79" i="4"/>
  <c r="D79" i="4"/>
  <c r="C79" i="4"/>
  <c r="M78" i="4"/>
  <c r="L78" i="4"/>
  <c r="K78" i="4"/>
  <c r="H78" i="4"/>
  <c r="G78" i="4"/>
  <c r="F78" i="4"/>
  <c r="J78" i="4" s="1"/>
  <c r="E78" i="4"/>
  <c r="D78" i="4"/>
  <c r="C78" i="4"/>
  <c r="I78" i="4" s="1"/>
  <c r="M77" i="4"/>
  <c r="L77" i="4"/>
  <c r="K77" i="4"/>
  <c r="H77" i="4"/>
  <c r="G77" i="4"/>
  <c r="F77" i="4"/>
  <c r="E77" i="4"/>
  <c r="D77" i="4"/>
  <c r="C77" i="4"/>
  <c r="I77" i="4" s="1"/>
  <c r="M76" i="4"/>
  <c r="L76" i="4"/>
  <c r="O76" i="4" s="1"/>
  <c r="K76" i="4"/>
  <c r="H76" i="4"/>
  <c r="G76" i="4"/>
  <c r="F76" i="4"/>
  <c r="E76" i="4"/>
  <c r="D76" i="4"/>
  <c r="C76" i="4"/>
  <c r="I76" i="4" s="1"/>
  <c r="M75" i="4"/>
  <c r="L75" i="4"/>
  <c r="K75" i="4"/>
  <c r="H75" i="4"/>
  <c r="J75" i="4" s="1"/>
  <c r="G75" i="4"/>
  <c r="F75" i="4"/>
  <c r="E75" i="4"/>
  <c r="D75" i="4"/>
  <c r="C75" i="4"/>
  <c r="M74" i="4"/>
  <c r="L74" i="4"/>
  <c r="K74" i="4"/>
  <c r="H74" i="4"/>
  <c r="G74" i="4"/>
  <c r="F74" i="4"/>
  <c r="E74" i="4"/>
  <c r="D74" i="4"/>
  <c r="C74" i="4"/>
  <c r="M73" i="4"/>
  <c r="L73" i="4"/>
  <c r="K73" i="4"/>
  <c r="I73" i="4"/>
  <c r="H73" i="4"/>
  <c r="J73" i="4" s="1"/>
  <c r="G73" i="4"/>
  <c r="F73" i="4"/>
  <c r="E73" i="4"/>
  <c r="D73" i="4"/>
  <c r="C73" i="4"/>
  <c r="F71" i="4"/>
  <c r="E71" i="4"/>
  <c r="D71" i="4"/>
  <c r="C71" i="4"/>
  <c r="F70" i="4"/>
  <c r="E70" i="4"/>
  <c r="D70" i="4"/>
  <c r="C70" i="4"/>
  <c r="H69" i="4"/>
  <c r="G69" i="4"/>
  <c r="F69" i="4"/>
  <c r="E69" i="4"/>
  <c r="D69" i="4"/>
  <c r="C69" i="4"/>
  <c r="H68" i="4"/>
  <c r="G68" i="4"/>
  <c r="F68" i="4"/>
  <c r="E68" i="4"/>
  <c r="D68" i="4"/>
  <c r="C68" i="4"/>
  <c r="I68" i="4" s="1"/>
  <c r="L67" i="4"/>
  <c r="O67" i="4" s="1"/>
  <c r="K67" i="4"/>
  <c r="H67" i="4"/>
  <c r="J67" i="4" s="1"/>
  <c r="G67" i="4"/>
  <c r="F67" i="4"/>
  <c r="E67" i="4"/>
  <c r="D67" i="4"/>
  <c r="C67" i="4"/>
  <c r="O66" i="4"/>
  <c r="L66" i="4"/>
  <c r="K66" i="4"/>
  <c r="H66" i="4"/>
  <c r="H563" i="4" s="1"/>
  <c r="R563" i="4" s="1"/>
  <c r="G66" i="4"/>
  <c r="G563" i="4" s="1"/>
  <c r="F66" i="4"/>
  <c r="E66" i="4"/>
  <c r="D66" i="4"/>
  <c r="C66" i="4"/>
  <c r="L65" i="4"/>
  <c r="K65" i="4"/>
  <c r="H65" i="4"/>
  <c r="G65" i="4"/>
  <c r="F65" i="4"/>
  <c r="E65" i="4"/>
  <c r="D65" i="4"/>
  <c r="C65" i="4"/>
  <c r="L64" i="4"/>
  <c r="K64" i="4"/>
  <c r="H64" i="4"/>
  <c r="G64" i="4"/>
  <c r="F64" i="4"/>
  <c r="E64" i="4"/>
  <c r="D64" i="4"/>
  <c r="C64" i="4"/>
  <c r="L63" i="4"/>
  <c r="K63" i="4"/>
  <c r="H63" i="4"/>
  <c r="G63" i="4"/>
  <c r="F63" i="4"/>
  <c r="E63" i="4"/>
  <c r="D63" i="4"/>
  <c r="C63" i="4"/>
  <c r="L62" i="4"/>
  <c r="O62" i="4" s="1"/>
  <c r="K62" i="4"/>
  <c r="H62" i="4"/>
  <c r="G62" i="4"/>
  <c r="F62" i="4"/>
  <c r="E62" i="4"/>
  <c r="D62" i="4"/>
  <c r="C62" i="4"/>
  <c r="F60" i="4"/>
  <c r="E60" i="4"/>
  <c r="D60" i="4"/>
  <c r="C60" i="4"/>
  <c r="F59" i="4"/>
  <c r="E59" i="4"/>
  <c r="D59" i="4"/>
  <c r="C59" i="4"/>
  <c r="G58" i="4"/>
  <c r="F58" i="4"/>
  <c r="E58" i="4"/>
  <c r="D58" i="4"/>
  <c r="C58" i="4"/>
  <c r="H57" i="4"/>
  <c r="G57" i="4"/>
  <c r="F57" i="4"/>
  <c r="E57" i="4"/>
  <c r="D57" i="4"/>
  <c r="C57" i="4"/>
  <c r="L56" i="4"/>
  <c r="O56" i="4" s="1"/>
  <c r="K56" i="4"/>
  <c r="H56" i="4"/>
  <c r="G56" i="4"/>
  <c r="F56" i="4"/>
  <c r="E56" i="4"/>
  <c r="D56" i="4"/>
  <c r="C56" i="4"/>
  <c r="L55" i="4"/>
  <c r="K55" i="4"/>
  <c r="H55" i="4"/>
  <c r="G55" i="4"/>
  <c r="F55" i="4"/>
  <c r="J55" i="4" s="1"/>
  <c r="E55" i="4"/>
  <c r="D55" i="4"/>
  <c r="C55" i="4"/>
  <c r="M54" i="4"/>
  <c r="L54" i="4"/>
  <c r="K54" i="4"/>
  <c r="H54" i="4"/>
  <c r="G54" i="4"/>
  <c r="I54" i="4" s="1"/>
  <c r="F54" i="4"/>
  <c r="J54" i="4" s="1"/>
  <c r="E54" i="4"/>
  <c r="D54" i="4"/>
  <c r="C54" i="4"/>
  <c r="M53" i="4"/>
  <c r="L53" i="4"/>
  <c r="K53" i="4"/>
  <c r="H53" i="4"/>
  <c r="G53" i="4"/>
  <c r="F53" i="4"/>
  <c r="E53" i="4"/>
  <c r="D53" i="4"/>
  <c r="C53" i="4"/>
  <c r="M52" i="4"/>
  <c r="L52" i="4"/>
  <c r="K52" i="4"/>
  <c r="H52" i="4"/>
  <c r="G52" i="4"/>
  <c r="F52" i="4"/>
  <c r="E52" i="4"/>
  <c r="D52" i="4"/>
  <c r="C52" i="4"/>
  <c r="M51" i="4"/>
  <c r="L51" i="4"/>
  <c r="K51" i="4"/>
  <c r="H51" i="4"/>
  <c r="G51" i="4"/>
  <c r="F51" i="4"/>
  <c r="E51" i="4"/>
  <c r="D51" i="4"/>
  <c r="C51" i="4"/>
  <c r="N51" i="4" s="1"/>
  <c r="F49" i="4"/>
  <c r="E49" i="4"/>
  <c r="D49" i="4"/>
  <c r="C49" i="4"/>
  <c r="M48" i="4"/>
  <c r="L48" i="4"/>
  <c r="K48" i="4"/>
  <c r="N48" i="4" s="1"/>
  <c r="F48" i="4"/>
  <c r="E48" i="4"/>
  <c r="D48" i="4"/>
  <c r="C48" i="4"/>
  <c r="M47" i="4"/>
  <c r="L47" i="4"/>
  <c r="K47" i="4"/>
  <c r="N47" i="4" s="1"/>
  <c r="H47" i="4"/>
  <c r="G47" i="4"/>
  <c r="F47" i="4"/>
  <c r="E47" i="4"/>
  <c r="D47" i="4"/>
  <c r="C47" i="4"/>
  <c r="M46" i="4"/>
  <c r="L46" i="4"/>
  <c r="K46" i="4"/>
  <c r="H46" i="4"/>
  <c r="G46" i="4"/>
  <c r="F46" i="4"/>
  <c r="J46" i="4" s="1"/>
  <c r="E46" i="4"/>
  <c r="D46" i="4"/>
  <c r="C46" i="4"/>
  <c r="M45" i="4"/>
  <c r="L45" i="4"/>
  <c r="K45" i="4"/>
  <c r="H45" i="4"/>
  <c r="G45" i="4"/>
  <c r="F45" i="4"/>
  <c r="J45" i="4" s="1"/>
  <c r="E45" i="4"/>
  <c r="D45" i="4"/>
  <c r="C45" i="4"/>
  <c r="N45" i="4" s="1"/>
  <c r="M44" i="4"/>
  <c r="L44" i="4"/>
  <c r="K44" i="4"/>
  <c r="H44" i="4"/>
  <c r="G44" i="4"/>
  <c r="F44" i="4"/>
  <c r="E44" i="4"/>
  <c r="D44" i="4"/>
  <c r="C44" i="4"/>
  <c r="N44" i="4" s="1"/>
  <c r="M43" i="4"/>
  <c r="L43" i="4"/>
  <c r="K43" i="4"/>
  <c r="H43" i="4"/>
  <c r="G43" i="4"/>
  <c r="F43" i="4"/>
  <c r="O43" i="4" s="1"/>
  <c r="E43" i="4"/>
  <c r="D43" i="4"/>
  <c r="C43" i="4"/>
  <c r="M42" i="4"/>
  <c r="L42" i="4"/>
  <c r="K42" i="4"/>
  <c r="H42" i="4"/>
  <c r="G42" i="4"/>
  <c r="F42" i="4"/>
  <c r="E42" i="4"/>
  <c r="D42" i="4"/>
  <c r="C42" i="4"/>
  <c r="M41" i="4"/>
  <c r="L41" i="4"/>
  <c r="K41" i="4"/>
  <c r="H41" i="4"/>
  <c r="G41" i="4"/>
  <c r="F41" i="4"/>
  <c r="E41" i="4"/>
  <c r="D41" i="4"/>
  <c r="C41" i="4"/>
  <c r="M40" i="4"/>
  <c r="L40" i="4"/>
  <c r="K40" i="4"/>
  <c r="H40" i="4"/>
  <c r="G40" i="4"/>
  <c r="F40" i="4"/>
  <c r="E40" i="4"/>
  <c r="D40" i="4"/>
  <c r="C40" i="4"/>
  <c r="F38" i="4"/>
  <c r="M568" i="4" s="1"/>
  <c r="E38" i="4"/>
  <c r="D38" i="4"/>
  <c r="C38" i="4"/>
  <c r="F37" i="4"/>
  <c r="E37" i="4"/>
  <c r="D37" i="4"/>
  <c r="K567" i="4" s="1"/>
  <c r="C37" i="4"/>
  <c r="J567" i="4" s="1"/>
  <c r="H36" i="4"/>
  <c r="H566" i="4" s="1"/>
  <c r="G36" i="4"/>
  <c r="G566" i="4" s="1"/>
  <c r="F36" i="4"/>
  <c r="J36" i="4" s="1"/>
  <c r="E36" i="4"/>
  <c r="D36" i="4"/>
  <c r="C36" i="4"/>
  <c r="H35" i="4"/>
  <c r="G35" i="4"/>
  <c r="F35" i="4"/>
  <c r="E35" i="4"/>
  <c r="D35" i="4"/>
  <c r="C35" i="4"/>
  <c r="L34" i="4"/>
  <c r="K34" i="4"/>
  <c r="H34" i="4"/>
  <c r="G34" i="4"/>
  <c r="G564" i="4" s="1"/>
  <c r="F34" i="4"/>
  <c r="E34" i="4"/>
  <c r="D34" i="4"/>
  <c r="C34" i="4"/>
  <c r="L33" i="4"/>
  <c r="K33" i="4"/>
  <c r="H33" i="4"/>
  <c r="G33" i="4"/>
  <c r="F33" i="4"/>
  <c r="E33" i="4"/>
  <c r="D33" i="4"/>
  <c r="C33" i="4"/>
  <c r="L32" i="4"/>
  <c r="K32" i="4"/>
  <c r="H32" i="4"/>
  <c r="H562" i="4" s="1"/>
  <c r="G32" i="4"/>
  <c r="G562" i="4" s="1"/>
  <c r="F32" i="4"/>
  <c r="J32" i="4" s="1"/>
  <c r="E32" i="4"/>
  <c r="D32" i="4"/>
  <c r="C32" i="4"/>
  <c r="I32" i="4" s="1"/>
  <c r="M31" i="4"/>
  <c r="L31" i="4"/>
  <c r="E561" i="4" s="1"/>
  <c r="K31" i="4"/>
  <c r="C561" i="4" s="1"/>
  <c r="H31" i="4"/>
  <c r="H561" i="4" s="1"/>
  <c r="G31" i="4"/>
  <c r="F31" i="4"/>
  <c r="O31" i="4" s="1"/>
  <c r="E31" i="4"/>
  <c r="L561" i="4" s="1"/>
  <c r="D31" i="4"/>
  <c r="K561" i="4" s="1"/>
  <c r="C31" i="4"/>
  <c r="J561" i="4" s="1"/>
  <c r="M30" i="4"/>
  <c r="D560" i="4" s="1"/>
  <c r="L30" i="4"/>
  <c r="K30" i="4"/>
  <c r="H30" i="4"/>
  <c r="H560" i="4" s="1"/>
  <c r="G30" i="4"/>
  <c r="F30" i="4"/>
  <c r="J30" i="4" s="1"/>
  <c r="E30" i="4"/>
  <c r="D30" i="4"/>
  <c r="C30" i="4"/>
  <c r="M29" i="4"/>
  <c r="D559" i="4" s="1"/>
  <c r="L29" i="4"/>
  <c r="K29" i="4"/>
  <c r="H29" i="4"/>
  <c r="H559" i="4" s="1"/>
  <c r="G29" i="4"/>
  <c r="F29" i="4"/>
  <c r="O29" i="4" s="1"/>
  <c r="E29" i="4"/>
  <c r="L559" i="4" s="1"/>
  <c r="D29" i="4"/>
  <c r="K559" i="4" s="1"/>
  <c r="C29" i="4"/>
  <c r="J559" i="4" s="1"/>
  <c r="F27" i="4"/>
  <c r="E27" i="4"/>
  <c r="D27" i="4"/>
  <c r="C27" i="4"/>
  <c r="H26" i="4"/>
  <c r="G26" i="4"/>
  <c r="F26" i="4"/>
  <c r="E26" i="4"/>
  <c r="D26" i="4"/>
  <c r="K554" i="4" s="1"/>
  <c r="C26" i="4"/>
  <c r="H25" i="4"/>
  <c r="G25" i="4"/>
  <c r="G553" i="4" s="1"/>
  <c r="F25" i="4"/>
  <c r="E25" i="4"/>
  <c r="D25" i="4"/>
  <c r="C25" i="4"/>
  <c r="L24" i="4"/>
  <c r="K24" i="4"/>
  <c r="H24" i="4"/>
  <c r="G24" i="4"/>
  <c r="F24" i="4"/>
  <c r="E24" i="4"/>
  <c r="L552" i="4" s="1"/>
  <c r="D24" i="4"/>
  <c r="C24" i="4"/>
  <c r="L23" i="4"/>
  <c r="K23" i="4"/>
  <c r="H23" i="4"/>
  <c r="G23" i="4"/>
  <c r="F23" i="4"/>
  <c r="E23" i="4"/>
  <c r="D23" i="4"/>
  <c r="K551" i="4" s="1"/>
  <c r="C23" i="4"/>
  <c r="L22" i="4"/>
  <c r="K22" i="4"/>
  <c r="H22" i="4"/>
  <c r="G22" i="4"/>
  <c r="F22" i="4"/>
  <c r="E22" i="4"/>
  <c r="D22" i="4"/>
  <c r="C22" i="4"/>
  <c r="M21" i="4"/>
  <c r="D549" i="4" s="1"/>
  <c r="L21" i="4"/>
  <c r="K21" i="4"/>
  <c r="H21" i="4"/>
  <c r="G21" i="4"/>
  <c r="F21" i="4"/>
  <c r="J21" i="4" s="1"/>
  <c r="E21" i="4"/>
  <c r="D21" i="4"/>
  <c r="C21" i="4"/>
  <c r="M20" i="4"/>
  <c r="L20" i="4"/>
  <c r="K20" i="4"/>
  <c r="H20" i="4"/>
  <c r="G20" i="4"/>
  <c r="F20" i="4"/>
  <c r="E20" i="4"/>
  <c r="D20" i="4"/>
  <c r="C20" i="4"/>
  <c r="M19" i="4"/>
  <c r="D547" i="4" s="1"/>
  <c r="L19" i="4"/>
  <c r="K19" i="4"/>
  <c r="H19" i="4"/>
  <c r="G19" i="4"/>
  <c r="F19" i="4"/>
  <c r="J19" i="4" s="1"/>
  <c r="E19" i="4"/>
  <c r="D19" i="4"/>
  <c r="C19" i="4"/>
  <c r="M18" i="4"/>
  <c r="L18" i="4"/>
  <c r="K18" i="4"/>
  <c r="G18" i="4"/>
  <c r="F18" i="4"/>
  <c r="E18" i="4"/>
  <c r="D18" i="4"/>
  <c r="C18" i="4"/>
  <c r="F16" i="4"/>
  <c r="E16" i="4"/>
  <c r="D16" i="4"/>
  <c r="C16" i="4"/>
  <c r="M15" i="4"/>
  <c r="L15" i="4"/>
  <c r="K15" i="4"/>
  <c r="H15" i="4"/>
  <c r="G15" i="4"/>
  <c r="F15" i="4"/>
  <c r="E15" i="4"/>
  <c r="D15" i="4"/>
  <c r="C15" i="4"/>
  <c r="N15" i="4" s="1"/>
  <c r="M14" i="4"/>
  <c r="L14" i="4"/>
  <c r="K14" i="4"/>
  <c r="H14" i="4"/>
  <c r="G14" i="4"/>
  <c r="F14" i="4"/>
  <c r="O14" i="4" s="1"/>
  <c r="E14" i="4"/>
  <c r="D14" i="4"/>
  <c r="C14" i="4"/>
  <c r="N14" i="4" s="1"/>
  <c r="M13" i="4"/>
  <c r="L13" i="4"/>
  <c r="K13" i="4"/>
  <c r="H13" i="4"/>
  <c r="G13" i="4"/>
  <c r="F13" i="4"/>
  <c r="E13" i="4"/>
  <c r="D13" i="4"/>
  <c r="C13" i="4"/>
  <c r="M12" i="4"/>
  <c r="L12" i="4"/>
  <c r="K12" i="4"/>
  <c r="H12" i="4"/>
  <c r="H538" i="4" s="1"/>
  <c r="G12" i="4"/>
  <c r="G538" i="4" s="1"/>
  <c r="F12" i="4"/>
  <c r="E12" i="4"/>
  <c r="D12" i="4"/>
  <c r="C12" i="4"/>
  <c r="N12" i="4" s="1"/>
  <c r="M11" i="4"/>
  <c r="L11" i="4"/>
  <c r="K11" i="4"/>
  <c r="H11" i="4"/>
  <c r="G11" i="4"/>
  <c r="F11" i="4"/>
  <c r="E11" i="4"/>
  <c r="D11" i="4"/>
  <c r="C11" i="4"/>
  <c r="M10" i="4"/>
  <c r="L10" i="4"/>
  <c r="O10" i="4" s="1"/>
  <c r="K10" i="4"/>
  <c r="H10" i="4"/>
  <c r="H536" i="4" s="1"/>
  <c r="G10" i="4"/>
  <c r="G536" i="4" s="1"/>
  <c r="F10" i="4"/>
  <c r="E10" i="4"/>
  <c r="D10" i="4"/>
  <c r="C10" i="4"/>
  <c r="M9" i="4"/>
  <c r="L9" i="4"/>
  <c r="K9" i="4"/>
  <c r="H9" i="4"/>
  <c r="J9" i="4" s="1"/>
  <c r="G9" i="4"/>
  <c r="F9" i="4"/>
  <c r="E9" i="4"/>
  <c r="D9" i="4"/>
  <c r="C9" i="4"/>
  <c r="M8" i="4"/>
  <c r="L8" i="4"/>
  <c r="K8" i="4"/>
  <c r="H8" i="4"/>
  <c r="G8" i="4"/>
  <c r="F8" i="4"/>
  <c r="E8" i="4"/>
  <c r="D8" i="4"/>
  <c r="C8" i="4"/>
  <c r="M7" i="4"/>
  <c r="L7" i="4"/>
  <c r="K7" i="4"/>
  <c r="H7" i="4"/>
  <c r="G7" i="4"/>
  <c r="F7" i="4"/>
  <c r="J7" i="4" s="1"/>
  <c r="E7" i="4"/>
  <c r="D7" i="4"/>
  <c r="C7" i="4"/>
  <c r="E285" i="1"/>
  <c r="L601" i="4" l="1"/>
  <c r="J66" i="4"/>
  <c r="L633" i="4"/>
  <c r="J312" i="4"/>
  <c r="L600" i="4"/>
  <c r="J65" i="4"/>
  <c r="M645" i="4"/>
  <c r="J301" i="4"/>
  <c r="J445" i="4"/>
  <c r="K537" i="4"/>
  <c r="N18" i="4"/>
  <c r="K547" i="4"/>
  <c r="L550" i="4"/>
  <c r="L554" i="4"/>
  <c r="I52" i="4"/>
  <c r="N96" i="4"/>
  <c r="N128" i="4"/>
  <c r="O132" i="4"/>
  <c r="J150" i="4"/>
  <c r="E628" i="4"/>
  <c r="D629" i="4"/>
  <c r="L632" i="4"/>
  <c r="J636" i="4"/>
  <c r="L644" i="4"/>
  <c r="I228" i="4"/>
  <c r="I261" i="4"/>
  <c r="N291" i="4"/>
  <c r="J326" i="4"/>
  <c r="I338" i="4"/>
  <c r="G581" i="4"/>
  <c r="D585" i="4"/>
  <c r="M603" i="4"/>
  <c r="K616" i="4"/>
  <c r="O386" i="4"/>
  <c r="N390" i="4"/>
  <c r="I425" i="4"/>
  <c r="J486" i="4"/>
  <c r="H642" i="4"/>
  <c r="R642" i="4" s="1"/>
  <c r="J375" i="4"/>
  <c r="K539" i="4"/>
  <c r="C642" i="4"/>
  <c r="J386" i="4"/>
  <c r="J490" i="4"/>
  <c r="K647" i="4"/>
  <c r="J340" i="4"/>
  <c r="J598" i="4"/>
  <c r="J488" i="4"/>
  <c r="D533" i="4"/>
  <c r="H540" i="4"/>
  <c r="R540" i="4" s="1"/>
  <c r="H551" i="4"/>
  <c r="M554" i="4"/>
  <c r="J52" i="4"/>
  <c r="J64" i="4"/>
  <c r="O65" i="4"/>
  <c r="N75" i="4"/>
  <c r="J88" i="4"/>
  <c r="O121" i="4"/>
  <c r="I133" i="4"/>
  <c r="N150" i="4"/>
  <c r="O154" i="4"/>
  <c r="J168" i="4"/>
  <c r="D628" i="4"/>
  <c r="L656" i="4"/>
  <c r="N225" i="4"/>
  <c r="I251" i="4"/>
  <c r="J262" i="4"/>
  <c r="O268" i="4"/>
  <c r="I293" i="4"/>
  <c r="H581" i="4"/>
  <c r="H592" i="4" s="1"/>
  <c r="C582" i="4"/>
  <c r="E583" i="4"/>
  <c r="D584" i="4"/>
  <c r="K609" i="4"/>
  <c r="L610" i="4"/>
  <c r="G612" i="4"/>
  <c r="N389" i="4"/>
  <c r="I423" i="4"/>
  <c r="N426" i="4"/>
  <c r="O445" i="4"/>
  <c r="J454" i="4"/>
  <c r="O456" i="4"/>
  <c r="J485" i="4"/>
  <c r="K633" i="4"/>
  <c r="E587" i="4"/>
  <c r="L551" i="4"/>
  <c r="E630" i="4"/>
  <c r="M590" i="4"/>
  <c r="M635" i="4"/>
  <c r="J229" i="4"/>
  <c r="E595" i="4"/>
  <c r="J13" i="4"/>
  <c r="L546" i="4"/>
  <c r="O20" i="4"/>
  <c r="G550" i="4"/>
  <c r="I34" i="4"/>
  <c r="N46" i="4"/>
  <c r="I74" i="4"/>
  <c r="O77" i="4"/>
  <c r="J86" i="4"/>
  <c r="I122" i="4"/>
  <c r="J143" i="4"/>
  <c r="I182" i="4"/>
  <c r="J642" i="4"/>
  <c r="L643" i="4"/>
  <c r="I203" i="4"/>
  <c r="O216" i="4"/>
  <c r="N259" i="4"/>
  <c r="I260" i="4"/>
  <c r="N281" i="4"/>
  <c r="I282" i="4"/>
  <c r="I283" i="4"/>
  <c r="N290" i="4"/>
  <c r="O294" i="4"/>
  <c r="O317" i="4"/>
  <c r="J323" i="4"/>
  <c r="J325" i="4"/>
  <c r="O326" i="4"/>
  <c r="D583" i="4"/>
  <c r="C589" i="4"/>
  <c r="J595" i="4"/>
  <c r="O595" i="4" s="1"/>
  <c r="L597" i="4"/>
  <c r="G599" i="4"/>
  <c r="K608" i="4"/>
  <c r="O378" i="4"/>
  <c r="H612" i="4"/>
  <c r="M614" i="4"/>
  <c r="O392" i="4"/>
  <c r="I436" i="4"/>
  <c r="I442" i="4"/>
  <c r="I446" i="4"/>
  <c r="O489" i="4"/>
  <c r="N491" i="4"/>
  <c r="H641" i="4"/>
  <c r="R641" i="4" s="1"/>
  <c r="D587" i="4"/>
  <c r="M601" i="4"/>
  <c r="J89" i="4"/>
  <c r="J336" i="4"/>
  <c r="E541" i="4"/>
  <c r="O18" i="4"/>
  <c r="G548" i="4"/>
  <c r="H550" i="4"/>
  <c r="O561" i="4"/>
  <c r="J63" i="4"/>
  <c r="O64" i="4"/>
  <c r="O139" i="4"/>
  <c r="J141" i="4"/>
  <c r="J628" i="4"/>
  <c r="H632" i="4"/>
  <c r="M636" i="4"/>
  <c r="J641" i="4"/>
  <c r="K642" i="4"/>
  <c r="O226" i="4"/>
  <c r="O235" i="4"/>
  <c r="J240" i="4"/>
  <c r="N258" i="4"/>
  <c r="I312" i="4"/>
  <c r="I330" i="4"/>
  <c r="O338" i="4"/>
  <c r="J341" i="4"/>
  <c r="D582" i="4"/>
  <c r="E589" i="4"/>
  <c r="K595" i="4"/>
  <c r="J367" i="4"/>
  <c r="G598" i="4"/>
  <c r="I381" i="4"/>
  <c r="K583" i="4"/>
  <c r="J391" i="4"/>
  <c r="J399" i="4"/>
  <c r="J441" i="4"/>
  <c r="J452" i="4"/>
  <c r="N453" i="4"/>
  <c r="O464" i="4"/>
  <c r="O466" i="4"/>
  <c r="O467" i="4"/>
  <c r="O485" i="4"/>
  <c r="N489" i="4"/>
  <c r="I490" i="4"/>
  <c r="N497" i="4"/>
  <c r="J513" i="4"/>
  <c r="H629" i="4"/>
  <c r="C586" i="4"/>
  <c r="G552" i="4"/>
  <c r="E586" i="4"/>
  <c r="C607" i="4"/>
  <c r="D535" i="4"/>
  <c r="J33" i="4"/>
  <c r="K649" i="4"/>
  <c r="C594" i="4"/>
  <c r="J456" i="4"/>
  <c r="J11" i="4"/>
  <c r="D541" i="4"/>
  <c r="H548" i="4"/>
  <c r="C559" i="4"/>
  <c r="J68" i="4"/>
  <c r="J101" i="4"/>
  <c r="J106" i="4"/>
  <c r="I121" i="4"/>
  <c r="J133" i="4"/>
  <c r="O151" i="4"/>
  <c r="J627" i="4"/>
  <c r="O627" i="4" s="1"/>
  <c r="K628" i="4"/>
  <c r="O183" i="4"/>
  <c r="G631" i="4"/>
  <c r="M634" i="4"/>
  <c r="K641" i="4"/>
  <c r="J661" i="4"/>
  <c r="J214" i="4"/>
  <c r="J225" i="4"/>
  <c r="J284" i="4"/>
  <c r="O285" i="4"/>
  <c r="J292" i="4"/>
  <c r="O293" i="4"/>
  <c r="J317" i="4"/>
  <c r="J328" i="4"/>
  <c r="M586" i="4"/>
  <c r="D589" i="4"/>
  <c r="L595" i="4"/>
  <c r="K613" i="4"/>
  <c r="I397" i="4"/>
  <c r="I413" i="4"/>
  <c r="O424" i="4"/>
  <c r="I445" i="4"/>
  <c r="N464" i="4"/>
  <c r="I465" i="4"/>
  <c r="I466" i="4"/>
  <c r="J477" i="4"/>
  <c r="O479" i="4"/>
  <c r="I488" i="4"/>
  <c r="O492" i="4"/>
  <c r="O493" i="4"/>
  <c r="J502" i="4"/>
  <c r="I511" i="4"/>
  <c r="H564" i="4"/>
  <c r="R564" i="4" s="1"/>
  <c r="L635" i="4"/>
  <c r="G583" i="4"/>
  <c r="J469" i="4"/>
  <c r="K549" i="4"/>
  <c r="Q549" i="4" s="1"/>
  <c r="M633" i="4"/>
  <c r="K644" i="4"/>
  <c r="N10" i="4"/>
  <c r="O8" i="4"/>
  <c r="O12" i="4"/>
  <c r="E559" i="4"/>
  <c r="E560" i="4"/>
  <c r="J56" i="4"/>
  <c r="J62" i="4"/>
  <c r="O63" i="4"/>
  <c r="N81" i="4"/>
  <c r="J90" i="4"/>
  <c r="I112" i="4"/>
  <c r="N129" i="4"/>
  <c r="O166" i="4"/>
  <c r="K627" i="4"/>
  <c r="H643" i="4"/>
  <c r="M653" i="4"/>
  <c r="M654" i="4"/>
  <c r="O656" i="4"/>
  <c r="K661" i="4"/>
  <c r="I214" i="4"/>
  <c r="J224" i="4"/>
  <c r="J260" i="4"/>
  <c r="J274" i="4"/>
  <c r="J290" i="4"/>
  <c r="O305" i="4"/>
  <c r="I326" i="4"/>
  <c r="I328" i="4"/>
  <c r="O337" i="4"/>
  <c r="O357" i="4"/>
  <c r="H587" i="4"/>
  <c r="C588" i="4"/>
  <c r="G596" i="4"/>
  <c r="I371" i="4"/>
  <c r="C610" i="4"/>
  <c r="J615" i="4"/>
  <c r="N420" i="4"/>
  <c r="N441" i="4"/>
  <c r="O470" i="4"/>
  <c r="I480" i="4"/>
  <c r="I486" i="4"/>
  <c r="J498" i="4"/>
  <c r="I510" i="4"/>
  <c r="J512" i="4"/>
  <c r="L535" i="4"/>
  <c r="O108" i="4"/>
  <c r="O110" i="4"/>
  <c r="O112" i="4"/>
  <c r="O131" i="4"/>
  <c r="O228" i="4"/>
  <c r="O261" i="4"/>
  <c r="O292" i="4"/>
  <c r="J293" i="4"/>
  <c r="N401" i="4"/>
  <c r="N443" i="4"/>
  <c r="I14" i="4"/>
  <c r="J40" i="4"/>
  <c r="O41" i="4"/>
  <c r="J42" i="4"/>
  <c r="J51" i="4"/>
  <c r="O52" i="4"/>
  <c r="J53" i="4"/>
  <c r="O106" i="4"/>
  <c r="O109" i="4"/>
  <c r="N114" i="4"/>
  <c r="O130" i="4"/>
  <c r="I154" i="4"/>
  <c r="I166" i="4"/>
  <c r="I192" i="4"/>
  <c r="J202" i="4"/>
  <c r="O213" i="4"/>
  <c r="O237" i="4"/>
  <c r="O248" i="4"/>
  <c r="O260" i="4"/>
  <c r="O269" i="4"/>
  <c r="I284" i="4"/>
  <c r="I319" i="4"/>
  <c r="O444" i="4"/>
  <c r="J463" i="4"/>
  <c r="N465" i="4"/>
  <c r="J35" i="4"/>
  <c r="J43" i="4"/>
  <c r="I45" i="4"/>
  <c r="N78" i="4"/>
  <c r="N117" i="4"/>
  <c r="O147" i="4"/>
  <c r="O217" i="4"/>
  <c r="O227" i="4"/>
  <c r="O290" i="4"/>
  <c r="O334" i="4"/>
  <c r="J335" i="4"/>
  <c r="O354" i="4"/>
  <c r="G587" i="4"/>
  <c r="J380" i="4"/>
  <c r="E609" i="4"/>
  <c r="J97" i="4"/>
  <c r="N107" i="4"/>
  <c r="O118" i="4"/>
  <c r="J142" i="4"/>
  <c r="J161" i="4"/>
  <c r="K631" i="4"/>
  <c r="Q631" i="4" s="1"/>
  <c r="L647" i="4"/>
  <c r="L649" i="4"/>
  <c r="I227" i="4"/>
  <c r="J248" i="4"/>
  <c r="J281" i="4"/>
  <c r="J314" i="4"/>
  <c r="J329" i="4"/>
  <c r="J339" i="4"/>
  <c r="H584" i="4"/>
  <c r="H585" i="4"/>
  <c r="J590" i="4"/>
  <c r="C598" i="4"/>
  <c r="O598" i="4" s="1"/>
  <c r="J392" i="4"/>
  <c r="J403" i="4"/>
  <c r="N458" i="4"/>
  <c r="J468" i="4"/>
  <c r="I18" i="4"/>
  <c r="R561" i="4"/>
  <c r="J41" i="4"/>
  <c r="O46" i="4"/>
  <c r="N74" i="4"/>
  <c r="N84" i="4"/>
  <c r="N85" i="4"/>
  <c r="O88" i="4"/>
  <c r="J96" i="4"/>
  <c r="O114" i="4"/>
  <c r="N119" i="4"/>
  <c r="O122" i="4"/>
  <c r="J145" i="4"/>
  <c r="G632" i="4"/>
  <c r="D640" i="4"/>
  <c r="D641" i="4"/>
  <c r="D664" i="4"/>
  <c r="N205" i="4"/>
  <c r="K657" i="4"/>
  <c r="L658" i="4"/>
  <c r="J213" i="4"/>
  <c r="J216" i="4"/>
  <c r="J246" i="4"/>
  <c r="J258" i="4"/>
  <c r="J268" i="4"/>
  <c r="J269" i="4"/>
  <c r="J279" i="4"/>
  <c r="O283" i="4"/>
  <c r="R655" i="4"/>
  <c r="O304" i="4"/>
  <c r="O325" i="4"/>
  <c r="J334" i="4"/>
  <c r="H582" i="4"/>
  <c r="C583" i="4"/>
  <c r="C585" i="4"/>
  <c r="J358" i="4"/>
  <c r="J398" i="4"/>
  <c r="I401" i="4"/>
  <c r="I433" i="4"/>
  <c r="O490" i="4"/>
  <c r="N387" i="4"/>
  <c r="O391" i="4"/>
  <c r="O397" i="4"/>
  <c r="N409" i="4"/>
  <c r="I412" i="4"/>
  <c r="I420" i="4"/>
  <c r="N421" i="4"/>
  <c r="I424" i="4"/>
  <c r="N424" i="4"/>
  <c r="J433" i="4"/>
  <c r="J434" i="4"/>
  <c r="J442" i="4"/>
  <c r="J446" i="4"/>
  <c r="N456" i="4"/>
  <c r="O461" i="4"/>
  <c r="N475" i="4"/>
  <c r="O486" i="4"/>
  <c r="N496" i="4"/>
  <c r="I501" i="4"/>
  <c r="J509" i="4"/>
  <c r="J511" i="4"/>
  <c r="O34" i="4"/>
  <c r="I44" i="4"/>
  <c r="I57" i="4"/>
  <c r="I109" i="4"/>
  <c r="J412" i="4"/>
  <c r="I414" i="4"/>
  <c r="N423" i="4"/>
  <c r="I431" i="4"/>
  <c r="J465" i="4"/>
  <c r="N470" i="4"/>
  <c r="J479" i="4"/>
  <c r="I489" i="4"/>
  <c r="N498" i="4"/>
  <c r="I500" i="4"/>
  <c r="O33" i="4"/>
  <c r="O40" i="4"/>
  <c r="N43" i="4"/>
  <c r="I46" i="4"/>
  <c r="O53" i="4"/>
  <c r="I56" i="4"/>
  <c r="O73" i="4"/>
  <c r="J76" i="4"/>
  <c r="I90" i="4"/>
  <c r="I107" i="4"/>
  <c r="I118" i="4"/>
  <c r="O119" i="4"/>
  <c r="J129" i="4"/>
  <c r="O144" i="4"/>
  <c r="N147" i="4"/>
  <c r="O161" i="4"/>
  <c r="I168" i="4"/>
  <c r="G627" i="4"/>
  <c r="Q627" i="4" s="1"/>
  <c r="H631" i="4"/>
  <c r="G643" i="4"/>
  <c r="L653" i="4"/>
  <c r="J207" i="4"/>
  <c r="I218" i="4"/>
  <c r="O239" i="4"/>
  <c r="J261" i="4"/>
  <c r="J295" i="4"/>
  <c r="I315" i="4"/>
  <c r="D596" i="4"/>
  <c r="K599" i="4"/>
  <c r="Q599" i="4" s="1"/>
  <c r="M600" i="4"/>
  <c r="K612" i="4"/>
  <c r="Q612" i="4" s="1"/>
  <c r="N391" i="4"/>
  <c r="N400" i="4"/>
  <c r="I411" i="4"/>
  <c r="I422" i="4"/>
  <c r="N427" i="4"/>
  <c r="I447" i="4"/>
  <c r="I468" i="4"/>
  <c r="O511" i="4"/>
  <c r="N8" i="4"/>
  <c r="N29" i="4"/>
  <c r="N31" i="4"/>
  <c r="R566" i="4"/>
  <c r="I40" i="4"/>
  <c r="I42" i="4"/>
  <c r="L537" i="4"/>
  <c r="I53" i="4"/>
  <c r="J74" i="4"/>
  <c r="O75" i="4"/>
  <c r="J77" i="4"/>
  <c r="J79" i="4"/>
  <c r="J85" i="4"/>
  <c r="O89" i="4"/>
  <c r="O97" i="4"/>
  <c r="J100" i="4"/>
  <c r="I111" i="4"/>
  <c r="I117" i="4"/>
  <c r="J120" i="4"/>
  <c r="J128" i="4"/>
  <c r="J139" i="4"/>
  <c r="J152" i="4"/>
  <c r="I181" i="4"/>
  <c r="O192" i="4"/>
  <c r="O193" i="4"/>
  <c r="L654" i="4"/>
  <c r="L655" i="4"/>
  <c r="J206" i="4"/>
  <c r="I213" i="4"/>
  <c r="N214" i="4"/>
  <c r="O214" i="4"/>
  <c r="O215" i="4"/>
  <c r="N224" i="4"/>
  <c r="N248" i="4"/>
  <c r="I249" i="4"/>
  <c r="I263" i="4"/>
  <c r="N269" i="4"/>
  <c r="N283" i="4"/>
  <c r="J294" i="4"/>
  <c r="J305" i="4"/>
  <c r="I314" i="4"/>
  <c r="J327" i="4"/>
  <c r="I329" i="4"/>
  <c r="O336" i="4"/>
  <c r="J337" i="4"/>
  <c r="D581" i="4"/>
  <c r="L589" i="4"/>
  <c r="E594" i="4"/>
  <c r="J597" i="4"/>
  <c r="L603" i="4"/>
  <c r="D608" i="4"/>
  <c r="N403" i="4"/>
  <c r="O405" i="4"/>
  <c r="J411" i="4"/>
  <c r="O428" i="4"/>
  <c r="O432" i="4"/>
  <c r="J436" i="4"/>
  <c r="N442" i="4"/>
  <c r="I452" i="4"/>
  <c r="J458" i="4"/>
  <c r="J478" i="4"/>
  <c r="I485" i="4"/>
  <c r="J496" i="4"/>
  <c r="J501" i="4"/>
  <c r="I512" i="4"/>
  <c r="N20" i="4"/>
  <c r="I30" i="4"/>
  <c r="O32" i="4"/>
  <c r="J44" i="4"/>
  <c r="O45" i="4"/>
  <c r="L539" i="4"/>
  <c r="O48" i="4"/>
  <c r="J57" i="4"/>
  <c r="J87" i="4"/>
  <c r="I89" i="4"/>
  <c r="J117" i="4"/>
  <c r="I120" i="4"/>
  <c r="I123" i="4"/>
  <c r="K635" i="4"/>
  <c r="N246" i="4"/>
  <c r="N247" i="4"/>
  <c r="J250" i="4"/>
  <c r="N279" i="4"/>
  <c r="I280" i="4"/>
  <c r="J324" i="4"/>
  <c r="D594" i="4"/>
  <c r="K597" i="4"/>
  <c r="D607" i="4"/>
  <c r="L611" i="4"/>
  <c r="M612" i="4"/>
  <c r="R612" i="4" s="1"/>
  <c r="N394" i="4"/>
  <c r="O395" i="4"/>
  <c r="O419" i="4"/>
  <c r="I458" i="4"/>
  <c r="O463" i="4"/>
  <c r="O500" i="4"/>
  <c r="O510" i="4"/>
  <c r="M552" i="4"/>
  <c r="J24" i="4"/>
  <c r="J533" i="4"/>
  <c r="I7" i="4"/>
  <c r="N7" i="4"/>
  <c r="E539" i="4"/>
  <c r="O13" i="4"/>
  <c r="O47" i="4"/>
  <c r="O96" i="4"/>
  <c r="K533" i="4"/>
  <c r="C535" i="4"/>
  <c r="I10" i="4"/>
  <c r="D539" i="4"/>
  <c r="C547" i="4"/>
  <c r="I20" i="4"/>
  <c r="M551" i="4"/>
  <c r="J23" i="4"/>
  <c r="O23" i="4"/>
  <c r="I41" i="4"/>
  <c r="O44" i="4"/>
  <c r="N52" i="4"/>
  <c r="N53" i="4"/>
  <c r="N76" i="4"/>
  <c r="J107" i="4"/>
  <c r="N108" i="4"/>
  <c r="J539" i="4"/>
  <c r="I13" i="4"/>
  <c r="M550" i="4"/>
  <c r="R550" i="4" s="1"/>
  <c r="O22" i="4"/>
  <c r="J22" i="4"/>
  <c r="G551" i="4"/>
  <c r="Q551" i="4" s="1"/>
  <c r="I23" i="4"/>
  <c r="C560" i="4"/>
  <c r="C570" i="4" s="1"/>
  <c r="N40" i="4"/>
  <c r="E535" i="4"/>
  <c r="O9" i="4"/>
  <c r="N13" i="4"/>
  <c r="N112" i="4"/>
  <c r="M538" i="4"/>
  <c r="R538" i="4" s="1"/>
  <c r="J12" i="4"/>
  <c r="M534" i="4"/>
  <c r="J8" i="4"/>
  <c r="I12" i="4"/>
  <c r="L567" i="4"/>
  <c r="N41" i="4"/>
  <c r="I43" i="4"/>
  <c r="N110" i="4"/>
  <c r="G561" i="4"/>
  <c r="I31" i="4"/>
  <c r="E547" i="4"/>
  <c r="O19" i="4"/>
  <c r="J547" i="4"/>
  <c r="I19" i="4"/>
  <c r="M559" i="4"/>
  <c r="J29" i="4"/>
  <c r="G534" i="4"/>
  <c r="J553" i="4"/>
  <c r="I25" i="4"/>
  <c r="L533" i="4"/>
  <c r="H534" i="4"/>
  <c r="E537" i="4"/>
  <c r="O11" i="4"/>
  <c r="M540" i="4"/>
  <c r="J14" i="4"/>
  <c r="J541" i="4"/>
  <c r="O15" i="4"/>
  <c r="E549" i="4"/>
  <c r="O21" i="4"/>
  <c r="J552" i="4"/>
  <c r="P552" i="4" s="1"/>
  <c r="I24" i="4"/>
  <c r="K553" i="4"/>
  <c r="R559" i="4"/>
  <c r="J34" i="4"/>
  <c r="J566" i="4"/>
  <c r="I36" i="4"/>
  <c r="M567" i="4"/>
  <c r="N42" i="4"/>
  <c r="I55" i="4"/>
  <c r="N73" i="4"/>
  <c r="I75" i="4"/>
  <c r="O78" i="4"/>
  <c r="O84" i="4"/>
  <c r="O95" i="4"/>
  <c r="J95" i="4"/>
  <c r="O100" i="4"/>
  <c r="O111" i="4"/>
  <c r="J535" i="4"/>
  <c r="I9" i="4"/>
  <c r="N19" i="4"/>
  <c r="O55" i="4"/>
  <c r="N77" i="4"/>
  <c r="I79" i="4"/>
  <c r="C537" i="4"/>
  <c r="C549" i="4"/>
  <c r="I22" i="4"/>
  <c r="G559" i="4"/>
  <c r="I29" i="4"/>
  <c r="N54" i="4"/>
  <c r="C533" i="4"/>
  <c r="G540" i="4"/>
  <c r="K541" i="4"/>
  <c r="L548" i="4"/>
  <c r="K552" i="4"/>
  <c r="Q552" i="4" s="1"/>
  <c r="L553" i="4"/>
  <c r="O30" i="4"/>
  <c r="K566" i="4"/>
  <c r="O42" i="4"/>
  <c r="N86" i="4"/>
  <c r="O99" i="4"/>
  <c r="N106" i="4"/>
  <c r="C539" i="4"/>
  <c r="N9" i="4"/>
  <c r="M546" i="4"/>
  <c r="J18" i="4"/>
  <c r="O24" i="4"/>
  <c r="J560" i="4"/>
  <c r="N30" i="4"/>
  <c r="K535" i="4"/>
  <c r="G546" i="4"/>
  <c r="I8" i="4"/>
  <c r="D537" i="4"/>
  <c r="J542" i="4"/>
  <c r="E533" i="4"/>
  <c r="O7" i="4"/>
  <c r="M536" i="4"/>
  <c r="R536" i="4" s="1"/>
  <c r="J10" i="4"/>
  <c r="J537" i="4"/>
  <c r="I11" i="4"/>
  <c r="N11" i="4"/>
  <c r="M548" i="4"/>
  <c r="R548" i="4" s="1"/>
  <c r="J20" i="4"/>
  <c r="J549" i="4"/>
  <c r="I21" i="4"/>
  <c r="N21" i="4"/>
  <c r="M553" i="4"/>
  <c r="J25" i="4"/>
  <c r="M561" i="4"/>
  <c r="J31" i="4"/>
  <c r="J562" i="4"/>
  <c r="I51" i="4"/>
  <c r="O51" i="4"/>
  <c r="O54" i="4"/>
  <c r="O74" i="4"/>
  <c r="N79" i="4"/>
  <c r="I87" i="4"/>
  <c r="O87" i="4"/>
  <c r="O98" i="4"/>
  <c r="O107" i="4"/>
  <c r="H552" i="4"/>
  <c r="K534" i="4"/>
  <c r="Q534" i="4" s="1"/>
  <c r="K536" i="4"/>
  <c r="Q536" i="4" s="1"/>
  <c r="K538" i="4"/>
  <c r="Q538" i="4" s="1"/>
  <c r="K540" i="4"/>
  <c r="C541" i="4"/>
  <c r="K546" i="4"/>
  <c r="K548" i="4"/>
  <c r="K550" i="4"/>
  <c r="Q550" i="4" s="1"/>
  <c r="J551" i="4"/>
  <c r="J554" i="4"/>
  <c r="O559" i="4"/>
  <c r="R560" i="4"/>
  <c r="D561" i="4"/>
  <c r="D570" i="4" s="1"/>
  <c r="R562" i="4"/>
  <c r="Q564" i="4"/>
  <c r="P564" i="4"/>
  <c r="M565" i="4"/>
  <c r="L568" i="4"/>
  <c r="L541" i="4"/>
  <c r="H565" i="4"/>
  <c r="R565" i="4" s="1"/>
  <c r="O128" i="4"/>
  <c r="O145" i="4"/>
  <c r="I153" i="4"/>
  <c r="N153" i="4"/>
  <c r="I157" i="4"/>
  <c r="H628" i="4"/>
  <c r="J181" i="4"/>
  <c r="K630" i="4"/>
  <c r="J631" i="4"/>
  <c r="J632" i="4"/>
  <c r="I185" i="4"/>
  <c r="M640" i="4"/>
  <c r="J191" i="4"/>
  <c r="O191" i="4"/>
  <c r="N192" i="4"/>
  <c r="L645" i="4"/>
  <c r="H646" i="4"/>
  <c r="R646" i="4" s="1"/>
  <c r="K656" i="4"/>
  <c r="J657" i="4"/>
  <c r="M659" i="4"/>
  <c r="J208" i="4"/>
  <c r="J247" i="4"/>
  <c r="O247" i="4"/>
  <c r="O249" i="4"/>
  <c r="O250" i="4"/>
  <c r="I313" i="4"/>
  <c r="G586" i="4"/>
  <c r="H588" i="4"/>
  <c r="R588" i="4" s="1"/>
  <c r="J360" i="4"/>
  <c r="M598" i="4"/>
  <c r="O368" i="4"/>
  <c r="J368" i="4"/>
  <c r="I402" i="4"/>
  <c r="N402" i="4"/>
  <c r="N141" i="4"/>
  <c r="I141" i="4"/>
  <c r="P640" i="4"/>
  <c r="J643" i="4"/>
  <c r="I194" i="4"/>
  <c r="I250" i="4"/>
  <c r="N250" i="4"/>
  <c r="N314" i="4"/>
  <c r="C584" i="4"/>
  <c r="J608" i="4"/>
  <c r="I376" i="4"/>
  <c r="N376" i="4"/>
  <c r="I142" i="4"/>
  <c r="N142" i="4"/>
  <c r="N180" i="4"/>
  <c r="C628" i="4"/>
  <c r="O628" i="4" s="1"/>
  <c r="R640" i="4"/>
  <c r="C653" i="4"/>
  <c r="M656" i="4"/>
  <c r="J205" i="4"/>
  <c r="J273" i="4"/>
  <c r="O281" i="4"/>
  <c r="I316" i="4"/>
  <c r="N316" i="4"/>
  <c r="I432" i="4"/>
  <c r="N432" i="4"/>
  <c r="O129" i="4"/>
  <c r="J153" i="4"/>
  <c r="J165" i="4"/>
  <c r="O165" i="4"/>
  <c r="M631" i="4"/>
  <c r="J184" i="4"/>
  <c r="M632" i="4"/>
  <c r="J185" i="4"/>
  <c r="I191" i="4"/>
  <c r="M644" i="4"/>
  <c r="J195" i="4"/>
  <c r="O195" i="4"/>
  <c r="R654" i="4"/>
  <c r="N215" i="4"/>
  <c r="I247" i="4"/>
  <c r="J313" i="4"/>
  <c r="O313" i="4"/>
  <c r="J582" i="4"/>
  <c r="N354" i="4"/>
  <c r="I354" i="4"/>
  <c r="N143" i="4"/>
  <c r="I143" i="4"/>
  <c r="J166" i="4"/>
  <c r="H630" i="4"/>
  <c r="R630" i="4" s="1"/>
  <c r="J183" i="4"/>
  <c r="P631" i="4"/>
  <c r="M642" i="4"/>
  <c r="J193" i="4"/>
  <c r="M643" i="4"/>
  <c r="R643" i="4" s="1"/>
  <c r="J194" i="4"/>
  <c r="G644" i="4"/>
  <c r="I195" i="4"/>
  <c r="J196" i="4"/>
  <c r="M655" i="4"/>
  <c r="J204" i="4"/>
  <c r="O204" i="4"/>
  <c r="J218" i="4"/>
  <c r="J235" i="4"/>
  <c r="J236" i="4"/>
  <c r="J237" i="4"/>
  <c r="J238" i="4"/>
  <c r="J239" i="4"/>
  <c r="O272" i="4"/>
  <c r="J272" i="4"/>
  <c r="N282" i="4"/>
  <c r="J585" i="4"/>
  <c r="I357" i="4"/>
  <c r="N357" i="4"/>
  <c r="C597" i="4"/>
  <c r="O597" i="4" s="1"/>
  <c r="N367" i="4"/>
  <c r="I144" i="4"/>
  <c r="N144" i="4"/>
  <c r="O155" i="4"/>
  <c r="J164" i="4"/>
  <c r="O164" i="4"/>
  <c r="M627" i="4"/>
  <c r="J180" i="4"/>
  <c r="O180" i="4"/>
  <c r="N181" i="4"/>
  <c r="Q642" i="4"/>
  <c r="P642" i="4"/>
  <c r="J646" i="4"/>
  <c r="I197" i="4"/>
  <c r="J653" i="4"/>
  <c r="I202" i="4"/>
  <c r="N202" i="4"/>
  <c r="J203" i="4"/>
  <c r="I302" i="4"/>
  <c r="N302" i="4"/>
  <c r="L581" i="4"/>
  <c r="J588" i="4"/>
  <c r="N360" i="4"/>
  <c r="I360" i="4"/>
  <c r="J589" i="4"/>
  <c r="N361" i="4"/>
  <c r="O422" i="4"/>
  <c r="J422" i="4"/>
  <c r="L547" i="4"/>
  <c r="L549" i="4"/>
  <c r="J555" i="4"/>
  <c r="K560" i="4"/>
  <c r="K562" i="4"/>
  <c r="J563" i="4"/>
  <c r="J564" i="4"/>
  <c r="L566" i="4"/>
  <c r="J163" i="4"/>
  <c r="O163" i="4"/>
  <c r="J629" i="4"/>
  <c r="N182" i="4"/>
  <c r="C630" i="4"/>
  <c r="O630" i="4" s="1"/>
  <c r="I184" i="4"/>
  <c r="K653" i="4"/>
  <c r="C654" i="4"/>
  <c r="N216" i="4"/>
  <c r="J226" i="4"/>
  <c r="N268" i="4"/>
  <c r="O271" i="4"/>
  <c r="J271" i="4"/>
  <c r="C632" i="4"/>
  <c r="O632" i="4" s="1"/>
  <c r="J355" i="4"/>
  <c r="M583" i="4"/>
  <c r="K542" i="4"/>
  <c r="P553" i="4"/>
  <c r="Q553" i="4"/>
  <c r="M533" i="4"/>
  <c r="C534" i="4"/>
  <c r="M535" i="4"/>
  <c r="C536" i="4"/>
  <c r="M537" i="4"/>
  <c r="C538" i="4"/>
  <c r="M539" i="4"/>
  <c r="C540" i="4"/>
  <c r="M541" i="4"/>
  <c r="C546" i="4"/>
  <c r="M547" i="4"/>
  <c r="C548" i="4"/>
  <c r="M549" i="4"/>
  <c r="H553" i="4"/>
  <c r="R553" i="4" s="1"/>
  <c r="K555" i="4"/>
  <c r="L560" i="4"/>
  <c r="L562" i="4"/>
  <c r="K563" i="4"/>
  <c r="K564" i="4"/>
  <c r="J565" i="4"/>
  <c r="M566" i="4"/>
  <c r="O143" i="4"/>
  <c r="N145" i="4"/>
  <c r="I145" i="4"/>
  <c r="O146" i="4"/>
  <c r="H627" i="4"/>
  <c r="K629" i="4"/>
  <c r="Q629" i="4" s="1"/>
  <c r="J640" i="4"/>
  <c r="N191" i="4"/>
  <c r="C641" i="4"/>
  <c r="I193" i="4"/>
  <c r="L646" i="4"/>
  <c r="J648" i="4"/>
  <c r="N213" i="4"/>
  <c r="O224" i="4"/>
  <c r="J227" i="4"/>
  <c r="J228" i="4"/>
  <c r="G633" i="4"/>
  <c r="I262" i="4"/>
  <c r="O291" i="4"/>
  <c r="J291" i="4"/>
  <c r="G582" i="4"/>
  <c r="G533" i="4"/>
  <c r="E534" i="4"/>
  <c r="G535" i="4"/>
  <c r="E536" i="4"/>
  <c r="G537" i="4"/>
  <c r="E538" i="4"/>
  <c r="G539" i="4"/>
  <c r="E540" i="4"/>
  <c r="M542" i="4"/>
  <c r="E546" i="4"/>
  <c r="G547" i="4"/>
  <c r="E548" i="4"/>
  <c r="G549" i="4"/>
  <c r="L555" i="4"/>
  <c r="M560" i="4"/>
  <c r="M562" i="4"/>
  <c r="L563" i="4"/>
  <c r="L564" i="4"/>
  <c r="K565" i="4"/>
  <c r="Q566" i="4"/>
  <c r="P566" i="4"/>
  <c r="J568" i="4"/>
  <c r="N139" i="4"/>
  <c r="I139" i="4"/>
  <c r="O140" i="4"/>
  <c r="J144" i="4"/>
  <c r="I146" i="4"/>
  <c r="N146" i="4"/>
  <c r="I180" i="4"/>
  <c r="O181" i="4"/>
  <c r="D630" i="4"/>
  <c r="D638" i="4" s="1"/>
  <c r="O185" i="4"/>
  <c r="K640" i="4"/>
  <c r="E641" i="4"/>
  <c r="J645" i="4"/>
  <c r="I196" i="4"/>
  <c r="M646" i="4"/>
  <c r="J197" i="4"/>
  <c r="K648" i="4"/>
  <c r="E655" i="4"/>
  <c r="K659" i="4"/>
  <c r="I259" i="4"/>
  <c r="O270" i="4"/>
  <c r="J270" i="4"/>
  <c r="J302" i="4"/>
  <c r="O302" i="4"/>
  <c r="L587" i="4"/>
  <c r="H533" i="4"/>
  <c r="J534" i="4"/>
  <c r="D534" i="4"/>
  <c r="H535" i="4"/>
  <c r="J536" i="4"/>
  <c r="D536" i="4"/>
  <c r="H537" i="4"/>
  <c r="J538" i="4"/>
  <c r="D538" i="4"/>
  <c r="H539" i="4"/>
  <c r="J540" i="4"/>
  <c r="O540" i="4" s="1"/>
  <c r="D540" i="4"/>
  <c r="J546" i="4"/>
  <c r="D546" i="4"/>
  <c r="H547" i="4"/>
  <c r="R547" i="4" s="1"/>
  <c r="J548" i="4"/>
  <c r="D548" i="4"/>
  <c r="H549" i="4"/>
  <c r="J550" i="4"/>
  <c r="P550" i="4" s="1"/>
  <c r="M555" i="4"/>
  <c r="E570" i="4"/>
  <c r="G560" i="4"/>
  <c r="Q562" i="4"/>
  <c r="P562" i="4"/>
  <c r="M563" i="4"/>
  <c r="M564" i="4"/>
  <c r="L565" i="4"/>
  <c r="K568" i="4"/>
  <c r="L534" i="4"/>
  <c r="L536" i="4"/>
  <c r="L538" i="4"/>
  <c r="L540" i="4"/>
  <c r="L542" i="4"/>
  <c r="P563" i="4"/>
  <c r="Q563" i="4"/>
  <c r="G565" i="4"/>
  <c r="I140" i="4"/>
  <c r="N140" i="4"/>
  <c r="N152" i="4"/>
  <c r="I152" i="4"/>
  <c r="O153" i="4"/>
  <c r="J155" i="4"/>
  <c r="M629" i="4"/>
  <c r="J182" i="4"/>
  <c r="O182" i="4"/>
  <c r="J630" i="4"/>
  <c r="N183" i="4"/>
  <c r="O184" i="4"/>
  <c r="O194" i="4"/>
  <c r="K645" i="4"/>
  <c r="P646" i="4"/>
  <c r="O203" i="4"/>
  <c r="J656" i="4"/>
  <c r="O205" i="4"/>
  <c r="L659" i="4"/>
  <c r="O246" i="4"/>
  <c r="N280" i="4"/>
  <c r="N284" i="4"/>
  <c r="N312" i="4"/>
  <c r="N313" i="4"/>
  <c r="J338" i="4"/>
  <c r="M587" i="4"/>
  <c r="J359" i="4"/>
  <c r="O359" i="4"/>
  <c r="P598" i="4"/>
  <c r="M595" i="4"/>
  <c r="R595" i="4" s="1"/>
  <c r="J365" i="4"/>
  <c r="J609" i="4"/>
  <c r="N377" i="4"/>
  <c r="I377" i="4"/>
  <c r="J423" i="4"/>
  <c r="O423" i="4"/>
  <c r="I474" i="4"/>
  <c r="N474" i="4"/>
  <c r="O497" i="4"/>
  <c r="J497" i="4"/>
  <c r="L627" i="4"/>
  <c r="L629" i="4"/>
  <c r="L631" i="4"/>
  <c r="K632" i="4"/>
  <c r="J633" i="4"/>
  <c r="J635" i="4"/>
  <c r="L640" i="4"/>
  <c r="J192" i="4"/>
  <c r="L642" i="4"/>
  <c r="K643" i="4"/>
  <c r="J644" i="4"/>
  <c r="K646" i="4"/>
  <c r="Q646" i="4" s="1"/>
  <c r="M647" i="4"/>
  <c r="M649" i="4"/>
  <c r="E653" i="4"/>
  <c r="E664" i="4" s="1"/>
  <c r="G654" i="4"/>
  <c r="G664" i="4" s="1"/>
  <c r="J659" i="4"/>
  <c r="M660" i="4"/>
  <c r="M662" i="4"/>
  <c r="H633" i="4"/>
  <c r="R633" i="4" s="1"/>
  <c r="I303" i="4"/>
  <c r="I327" i="4"/>
  <c r="P657" i="4"/>
  <c r="Q657" i="4"/>
  <c r="M581" i="4"/>
  <c r="J353" i="4"/>
  <c r="I355" i="4"/>
  <c r="J583" i="4"/>
  <c r="N355" i="4"/>
  <c r="E584" i="4"/>
  <c r="E585" i="4"/>
  <c r="G595" i="4"/>
  <c r="L599" i="4"/>
  <c r="K601" i="4"/>
  <c r="J610" i="4"/>
  <c r="I378" i="4"/>
  <c r="N378" i="4"/>
  <c r="I387" i="4"/>
  <c r="I388" i="4"/>
  <c r="I391" i="4"/>
  <c r="I392" i="4"/>
  <c r="J430" i="4"/>
  <c r="O430" i="4"/>
  <c r="I455" i="4"/>
  <c r="N455" i="4"/>
  <c r="I457" i="4"/>
  <c r="N457" i="4"/>
  <c r="I469" i="4"/>
  <c r="N469" i="4"/>
  <c r="I368" i="4"/>
  <c r="J369" i="4"/>
  <c r="M599" i="4"/>
  <c r="O369" i="4"/>
  <c r="G607" i="4"/>
  <c r="M608" i="4"/>
  <c r="J376" i="4"/>
  <c r="J611" i="4"/>
  <c r="I379" i="4"/>
  <c r="R614" i="4"/>
  <c r="J400" i="4"/>
  <c r="O400" i="4"/>
  <c r="O401" i="4"/>
  <c r="J401" i="4"/>
  <c r="J408" i="4"/>
  <c r="O408" i="4"/>
  <c r="O443" i="4"/>
  <c r="J491" i="4"/>
  <c r="O491" i="4"/>
  <c r="L583" i="4"/>
  <c r="J584" i="4"/>
  <c r="N356" i="4"/>
  <c r="I356" i="4"/>
  <c r="G588" i="4"/>
  <c r="M589" i="4"/>
  <c r="O361" i="4"/>
  <c r="O362" i="4"/>
  <c r="M596" i="4"/>
  <c r="O366" i="4"/>
  <c r="O367" i="4"/>
  <c r="J370" i="4"/>
  <c r="R607" i="4"/>
  <c r="J382" i="4"/>
  <c r="O425" i="4"/>
  <c r="J425" i="4"/>
  <c r="C600" i="4"/>
  <c r="O600" i="4" s="1"/>
  <c r="G609" i="4"/>
  <c r="M610" i="4"/>
  <c r="J378" i="4"/>
  <c r="J455" i="4"/>
  <c r="O455" i="4"/>
  <c r="I292" i="4"/>
  <c r="Q655" i="4"/>
  <c r="P655" i="4"/>
  <c r="I318" i="4"/>
  <c r="E581" i="4"/>
  <c r="K585" i="4"/>
  <c r="Q585" i="4" s="1"/>
  <c r="D586" i="4"/>
  <c r="R601" i="4"/>
  <c r="K603" i="4"/>
  <c r="R609" i="4"/>
  <c r="H613" i="4"/>
  <c r="J381" i="4"/>
  <c r="C599" i="4"/>
  <c r="O599" i="4" s="1"/>
  <c r="J420" i="4"/>
  <c r="O420" i="4"/>
  <c r="J453" i="4"/>
  <c r="O453" i="4"/>
  <c r="N466" i="4"/>
  <c r="L628" i="4"/>
  <c r="L630" i="4"/>
  <c r="J634" i="4"/>
  <c r="K636" i="4"/>
  <c r="L641" i="4"/>
  <c r="H644" i="4"/>
  <c r="G645" i="4"/>
  <c r="L648" i="4"/>
  <c r="P653" i="4"/>
  <c r="Q653" i="4"/>
  <c r="E654" i="4"/>
  <c r="L657" i="4"/>
  <c r="L661" i="4"/>
  <c r="O642" i="4"/>
  <c r="O314" i="4"/>
  <c r="J354" i="4"/>
  <c r="H583" i="4"/>
  <c r="O356" i="4"/>
  <c r="L585" i="4"/>
  <c r="J586" i="4"/>
  <c r="N358" i="4"/>
  <c r="I358" i="4"/>
  <c r="N365" i="4"/>
  <c r="I366" i="4"/>
  <c r="N368" i="4"/>
  <c r="D600" i="4"/>
  <c r="E608" i="4"/>
  <c r="J377" i="4"/>
  <c r="H610" i="4"/>
  <c r="G611" i="4"/>
  <c r="L615" i="4"/>
  <c r="I386" i="4"/>
  <c r="I389" i="4"/>
  <c r="I390" i="4"/>
  <c r="I419" i="4"/>
  <c r="I454" i="4"/>
  <c r="C627" i="4"/>
  <c r="M628" i="4"/>
  <c r="C629" i="4"/>
  <c r="M630" i="4"/>
  <c r="K634" i="4"/>
  <c r="L636" i="4"/>
  <c r="C640" i="4"/>
  <c r="C651" i="4" s="1"/>
  <c r="M641" i="4"/>
  <c r="H645" i="4"/>
  <c r="R645" i="4" s="1"/>
  <c r="M648" i="4"/>
  <c r="H664" i="4"/>
  <c r="R653" i="4"/>
  <c r="J654" i="4"/>
  <c r="O654" i="4" s="1"/>
  <c r="M657" i="4"/>
  <c r="M658" i="4"/>
  <c r="M661" i="4"/>
  <c r="C631" i="4"/>
  <c r="O631" i="4" s="1"/>
  <c r="E642" i="4"/>
  <c r="J303" i="4"/>
  <c r="J315" i="4"/>
  <c r="J316" i="4"/>
  <c r="O353" i="4"/>
  <c r="G584" i="4"/>
  <c r="M585" i="4"/>
  <c r="R585" i="4" s="1"/>
  <c r="J357" i="4"/>
  <c r="J587" i="4"/>
  <c r="I359" i="4"/>
  <c r="N359" i="4"/>
  <c r="E588" i="4"/>
  <c r="O360" i="4"/>
  <c r="M594" i="4"/>
  <c r="O364" i="4"/>
  <c r="O365" i="4"/>
  <c r="J366" i="4"/>
  <c r="G597" i="4"/>
  <c r="Q597" i="4" s="1"/>
  <c r="J600" i="4"/>
  <c r="I370" i="4"/>
  <c r="N370" i="4"/>
  <c r="J371" i="4"/>
  <c r="O609" i="4"/>
  <c r="H611" i="4"/>
  <c r="J614" i="4"/>
  <c r="I382" i="4"/>
  <c r="M615" i="4"/>
  <c r="J419" i="4"/>
  <c r="O508" i="4"/>
  <c r="J508" i="4"/>
  <c r="E627" i="4"/>
  <c r="G628" i="4"/>
  <c r="E629" i="4"/>
  <c r="G630" i="4"/>
  <c r="L634" i="4"/>
  <c r="E640" i="4"/>
  <c r="G641" i="4"/>
  <c r="G651" i="4" s="1"/>
  <c r="J647" i="4"/>
  <c r="J649" i="4"/>
  <c r="N203" i="4"/>
  <c r="J660" i="4"/>
  <c r="J662" i="4"/>
  <c r="E631" i="4"/>
  <c r="D642" i="4"/>
  <c r="N301" i="4"/>
  <c r="J581" i="4"/>
  <c r="I353" i="4"/>
  <c r="N353" i="4"/>
  <c r="E582" i="4"/>
  <c r="D588" i="4"/>
  <c r="K590" i="4"/>
  <c r="G594" i="4"/>
  <c r="C596" i="4"/>
  <c r="H597" i="4"/>
  <c r="Q600" i="4"/>
  <c r="O370" i="4"/>
  <c r="J607" i="4"/>
  <c r="N375" i="4"/>
  <c r="I375" i="4"/>
  <c r="O376" i="4"/>
  <c r="J379" i="4"/>
  <c r="I380" i="4"/>
  <c r="K614" i="4"/>
  <c r="Q583" i="4"/>
  <c r="O402" i="4"/>
  <c r="I430" i="4"/>
  <c r="N430" i="4"/>
  <c r="M597" i="4"/>
  <c r="K581" i="4"/>
  <c r="K587" i="4"/>
  <c r="K589" i="4"/>
  <c r="L590" i="4"/>
  <c r="H594" i="4"/>
  <c r="D595" i="4"/>
  <c r="H596" i="4"/>
  <c r="D597" i="4"/>
  <c r="H598" i="4"/>
  <c r="J599" i="4"/>
  <c r="P599" i="4" s="1"/>
  <c r="E600" i="4"/>
  <c r="Q601" i="4"/>
  <c r="P601" i="4"/>
  <c r="J603" i="4"/>
  <c r="K610" i="4"/>
  <c r="K615" i="4"/>
  <c r="I398" i="4"/>
  <c r="O398" i="4"/>
  <c r="I464" i="4"/>
  <c r="O507" i="4"/>
  <c r="J507" i="4"/>
  <c r="E607" i="4"/>
  <c r="P608" i="4"/>
  <c r="Q608" i="4"/>
  <c r="G610" i="4"/>
  <c r="J613" i="4"/>
  <c r="L614" i="4"/>
  <c r="J616" i="4"/>
  <c r="N399" i="4"/>
  <c r="O431" i="4"/>
  <c r="N452" i="4"/>
  <c r="J457" i="4"/>
  <c r="O457" i="4"/>
  <c r="J474" i="4"/>
  <c r="O474" i="4"/>
  <c r="I476" i="4"/>
  <c r="I499" i="4"/>
  <c r="K582" i="4"/>
  <c r="K584" i="4"/>
  <c r="K586" i="4"/>
  <c r="K588" i="4"/>
  <c r="J594" i="4"/>
  <c r="J596" i="4"/>
  <c r="H599" i="4"/>
  <c r="G600" i="4"/>
  <c r="K607" i="4"/>
  <c r="K611" i="4"/>
  <c r="P612" i="4"/>
  <c r="L613" i="4"/>
  <c r="Q614" i="4"/>
  <c r="P614" i="4"/>
  <c r="L616" i="4"/>
  <c r="O393" i="4"/>
  <c r="N419" i="4"/>
  <c r="I453" i="4"/>
  <c r="N460" i="4"/>
  <c r="O478" i="4"/>
  <c r="I491" i="4"/>
  <c r="L582" i="4"/>
  <c r="L584" i="4"/>
  <c r="L586" i="4"/>
  <c r="O358" i="4"/>
  <c r="L588" i="4"/>
  <c r="K594" i="4"/>
  <c r="N364" i="4"/>
  <c r="I365" i="4"/>
  <c r="K596" i="4"/>
  <c r="Q596" i="4" s="1"/>
  <c r="N366" i="4"/>
  <c r="I367" i="4"/>
  <c r="K598" i="4"/>
  <c r="Q598" i="4" s="1"/>
  <c r="I369" i="4"/>
  <c r="H600" i="4"/>
  <c r="J601" i="4"/>
  <c r="J602" i="4"/>
  <c r="L607" i="4"/>
  <c r="O375" i="4"/>
  <c r="L609" i="4"/>
  <c r="R613" i="4"/>
  <c r="M616" i="4"/>
  <c r="O394" i="4"/>
  <c r="O399" i="4"/>
  <c r="I400" i="4"/>
  <c r="N422" i="4"/>
  <c r="N425" i="4"/>
  <c r="J431" i="4"/>
  <c r="I456" i="4"/>
  <c r="N477" i="4"/>
  <c r="N487" i="4"/>
  <c r="I487" i="4"/>
  <c r="J499" i="4"/>
  <c r="C581" i="4"/>
  <c r="M582" i="4"/>
  <c r="M584" i="4"/>
  <c r="R586" i="4"/>
  <c r="C587" i="4"/>
  <c r="M588" i="4"/>
  <c r="L594" i="4"/>
  <c r="L596" i="4"/>
  <c r="L598" i="4"/>
  <c r="K602" i="4"/>
  <c r="M607" i="4"/>
  <c r="C608" i="4"/>
  <c r="O608" i="4" s="1"/>
  <c r="M609" i="4"/>
  <c r="O610" i="4"/>
  <c r="M611" i="4"/>
  <c r="R611" i="4" s="1"/>
  <c r="L612" i="4"/>
  <c r="G613" i="4"/>
  <c r="Q613" i="4" s="1"/>
  <c r="N397" i="4"/>
  <c r="O403" i="4"/>
  <c r="O433" i="4"/>
  <c r="O452" i="4"/>
  <c r="N454" i="4"/>
  <c r="O601" i="4"/>
  <c r="J476" i="4"/>
  <c r="O476" i="4"/>
  <c r="I478" i="4"/>
  <c r="J487" i="4"/>
  <c r="N488" i="4"/>
  <c r="O488" i="4"/>
  <c r="O590" i="4"/>
  <c r="N490" i="4"/>
  <c r="N486" i="4"/>
  <c r="R629" i="4" l="1"/>
  <c r="E557" i="4"/>
  <c r="Q610" i="4"/>
  <c r="C605" i="4"/>
  <c r="Q632" i="4"/>
  <c r="O641" i="4"/>
  <c r="P627" i="4"/>
  <c r="P551" i="4"/>
  <c r="Q539" i="4"/>
  <c r="O589" i="4"/>
  <c r="R631" i="4"/>
  <c r="P643" i="4"/>
  <c r="E618" i="4"/>
  <c r="P595" i="4"/>
  <c r="Q548" i="4"/>
  <c r="D592" i="4"/>
  <c r="L557" i="4"/>
  <c r="O547" i="4"/>
  <c r="G592" i="4"/>
  <c r="R632" i="4"/>
  <c r="P632" i="4"/>
  <c r="H618" i="4"/>
  <c r="Q537" i="4"/>
  <c r="D618" i="4"/>
  <c r="O588" i="4"/>
  <c r="Q644" i="4"/>
  <c r="R551" i="4"/>
  <c r="R587" i="4"/>
  <c r="P610" i="4"/>
  <c r="R584" i="4"/>
  <c r="R597" i="4"/>
  <c r="L664" i="4"/>
  <c r="D605" i="4"/>
  <c r="Q586" i="4"/>
  <c r="H651" i="4"/>
  <c r="D544" i="4"/>
  <c r="G544" i="4"/>
  <c r="R598" i="4"/>
  <c r="R582" i="4"/>
  <c r="Q595" i="4"/>
  <c r="R610" i="4"/>
  <c r="R618" i="4" s="1"/>
  <c r="Q643" i="4"/>
  <c r="R583" i="4"/>
  <c r="K570" i="4"/>
  <c r="L605" i="4"/>
  <c r="M664" i="4"/>
  <c r="G638" i="4"/>
  <c r="P611" i="4"/>
  <c r="K651" i="4"/>
  <c r="L570" i="4"/>
  <c r="O560" i="4"/>
  <c r="O570" i="4" s="1"/>
  <c r="D651" i="4"/>
  <c r="R600" i="4"/>
  <c r="G605" i="4"/>
  <c r="E605" i="4"/>
  <c r="Q587" i="4"/>
  <c r="E592" i="4"/>
  <c r="J592" i="4"/>
  <c r="O581" i="4"/>
  <c r="P581" i="4"/>
  <c r="E651" i="4"/>
  <c r="P600" i="4"/>
  <c r="C618" i="4"/>
  <c r="Q645" i="4"/>
  <c r="Q560" i="4"/>
  <c r="P560" i="4"/>
  <c r="P534" i="4"/>
  <c r="O534" i="4"/>
  <c r="C557" i="4"/>
  <c r="R533" i="4"/>
  <c r="M544" i="4"/>
  <c r="K664" i="4"/>
  <c r="Q630" i="4"/>
  <c r="J570" i="4"/>
  <c r="P535" i="4"/>
  <c r="O535" i="4"/>
  <c r="P561" i="4"/>
  <c r="Q561" i="4"/>
  <c r="P539" i="4"/>
  <c r="O539" i="4"/>
  <c r="P583" i="4"/>
  <c r="O583" i="4"/>
  <c r="P645" i="4"/>
  <c r="P547" i="4"/>
  <c r="Q547" i="4"/>
  <c r="O640" i="4"/>
  <c r="O651" i="4" s="1"/>
  <c r="J651" i="4"/>
  <c r="P628" i="4"/>
  <c r="P596" i="4"/>
  <c r="O596" i="4"/>
  <c r="O587" i="4"/>
  <c r="P587" i="4"/>
  <c r="H605" i="4"/>
  <c r="L651" i="4"/>
  <c r="R539" i="4"/>
  <c r="K638" i="4"/>
  <c r="Q540" i="4"/>
  <c r="P540" i="4"/>
  <c r="M570" i="4"/>
  <c r="K544" i="4"/>
  <c r="Q533" i="4"/>
  <c r="P594" i="4"/>
  <c r="J605" i="4"/>
  <c r="O594" i="4"/>
  <c r="J618" i="4"/>
  <c r="O607" i="4"/>
  <c r="O618" i="4" s="1"/>
  <c r="Q609" i="4"/>
  <c r="P609" i="4"/>
  <c r="P588" i="4"/>
  <c r="Q588" i="4"/>
  <c r="R581" i="4"/>
  <c r="M592" i="4"/>
  <c r="Q654" i="4"/>
  <c r="P654" i="4"/>
  <c r="P664" i="4" s="1"/>
  <c r="O538" i="4"/>
  <c r="P538" i="4"/>
  <c r="H544" i="4"/>
  <c r="H638" i="4"/>
  <c r="J664" i="4"/>
  <c r="O653" i="4"/>
  <c r="O664" i="4" s="1"/>
  <c r="R627" i="4"/>
  <c r="M638" i="4"/>
  <c r="Q640" i="4"/>
  <c r="E544" i="4"/>
  <c r="M557" i="4"/>
  <c r="R546" i="4"/>
  <c r="P533" i="4"/>
  <c r="O533" i="4"/>
  <c r="J544" i="4"/>
  <c r="P613" i="4"/>
  <c r="E638" i="4"/>
  <c r="P630" i="4"/>
  <c r="R537" i="4"/>
  <c r="Q546" i="4"/>
  <c r="K557" i="4"/>
  <c r="R594" i="4"/>
  <c r="M605" i="4"/>
  <c r="P597" i="4"/>
  <c r="G618" i="4"/>
  <c r="Q607" i="4"/>
  <c r="P607" i="4"/>
  <c r="P565" i="4"/>
  <c r="Q565" i="4"/>
  <c r="P548" i="4"/>
  <c r="O548" i="4"/>
  <c r="O585" i="4"/>
  <c r="P585" i="4"/>
  <c r="R644" i="4"/>
  <c r="R651" i="4" s="1"/>
  <c r="J638" i="4"/>
  <c r="M651" i="4"/>
  <c r="P537" i="4"/>
  <c r="O537" i="4"/>
  <c r="C544" i="4"/>
  <c r="H557" i="4"/>
  <c r="L544" i="4"/>
  <c r="M618" i="4"/>
  <c r="C592" i="4"/>
  <c r="Q584" i="4"/>
  <c r="K592" i="4"/>
  <c r="Q581" i="4"/>
  <c r="P586" i="4"/>
  <c r="O586" i="4"/>
  <c r="P584" i="4"/>
  <c r="O584" i="4"/>
  <c r="P536" i="4"/>
  <c r="O536" i="4"/>
  <c r="P633" i="4"/>
  <c r="Q633" i="4"/>
  <c r="Q638" i="4" s="1"/>
  <c r="R549" i="4"/>
  <c r="R535" i="4"/>
  <c r="P629" i="4"/>
  <c r="O629" i="4"/>
  <c r="O638" i="4" s="1"/>
  <c r="R534" i="4"/>
  <c r="L618" i="4"/>
  <c r="Q611" i="4"/>
  <c r="Q582" i="4"/>
  <c r="R664" i="4"/>
  <c r="R628" i="4"/>
  <c r="R596" i="4"/>
  <c r="R599" i="4"/>
  <c r="D557" i="4"/>
  <c r="Q628" i="4"/>
  <c r="L592" i="4"/>
  <c r="P582" i="4"/>
  <c r="O582" i="4"/>
  <c r="G557" i="4"/>
  <c r="H570" i="4"/>
  <c r="O541" i="4"/>
  <c r="K605" i="4"/>
  <c r="Q594" i="4"/>
  <c r="K618" i="4"/>
  <c r="Q641" i="4"/>
  <c r="P641" i="4"/>
  <c r="C638" i="4"/>
  <c r="Q664" i="4"/>
  <c r="P644" i="4"/>
  <c r="L638" i="4"/>
  <c r="J557" i="4"/>
  <c r="P546" i="4"/>
  <c r="O546" i="4"/>
  <c r="C664" i="4"/>
  <c r="P549" i="4"/>
  <c r="O549" i="4"/>
  <c r="Q535" i="4"/>
  <c r="Q559" i="4"/>
  <c r="P559" i="4"/>
  <c r="G570" i="4"/>
  <c r="R570" i="4"/>
  <c r="R552" i="4"/>
  <c r="P570" i="4" l="1"/>
  <c r="P638" i="4"/>
  <c r="R605" i="4"/>
  <c r="Q605" i="4"/>
  <c r="R557" i="4"/>
  <c r="P651" i="4"/>
  <c r="Q570" i="4"/>
  <c r="R638" i="4"/>
  <c r="R592" i="4"/>
  <c r="Q544" i="4"/>
  <c r="R544" i="4"/>
  <c r="O544" i="4"/>
  <c r="P618" i="4"/>
  <c r="O605" i="4"/>
  <c r="P592" i="4"/>
  <c r="P557" i="4"/>
  <c r="O592" i="4"/>
  <c r="P544" i="4"/>
  <c r="Q557" i="4"/>
  <c r="O557" i="4"/>
  <c r="Q592" i="4"/>
  <c r="Q618" i="4"/>
  <c r="Q651" i="4"/>
  <c r="P605" i="4"/>
</calcChain>
</file>

<file path=xl/sharedStrings.xml><?xml version="1.0" encoding="utf-8"?>
<sst xmlns="http://schemas.openxmlformats.org/spreadsheetml/2006/main" count="6238" uniqueCount="300">
  <si>
    <t>ALNS</t>
  </si>
  <si>
    <t>ALNS heuristic</t>
  </si>
  <si>
    <t>Instance Group</t>
  </si>
  <si>
    <t xml:space="preserve">Weather Scenario </t>
  </si>
  <si>
    <t># Orders</t>
  </si>
  <si>
    <t xml:space="preserve">Alpha </t>
  </si>
  <si>
    <t>Obj. Value</t>
  </si>
  <si>
    <t xml:space="preserve">Solution Time </t>
  </si>
  <si>
    <t>SEED = 42</t>
  </si>
  <si>
    <t>R1</t>
  </si>
  <si>
    <t>R2</t>
  </si>
  <si>
    <t>R3</t>
  </si>
  <si>
    <t>R4</t>
  </si>
  <si>
    <t>R5</t>
  </si>
  <si>
    <t>All locations</t>
  </si>
  <si>
    <t>Infeasible</t>
  </si>
  <si>
    <t xml:space="preserve">Infeasible </t>
  </si>
  <si>
    <t>SEED = 123</t>
  </si>
  <si>
    <t>SEED = 0</t>
  </si>
  <si>
    <t>SEED = 999</t>
  </si>
  <si>
    <t>SEED = 2400</t>
  </si>
  <si>
    <t>Gurobi</t>
  </si>
  <si>
    <t># Vessels</t>
  </si>
  <si>
    <t>Alpha</t>
  </si>
  <si>
    <t>Solution Time</t>
  </si>
  <si>
    <t>3*</t>
  </si>
  <si>
    <t>4*</t>
  </si>
  <si>
    <t>6*</t>
  </si>
  <si>
    <t>2*</t>
  </si>
  <si>
    <t>5*</t>
  </si>
  <si>
    <t>Weather scenario 4040</t>
  </si>
  <si>
    <t>Weather scenario 2400</t>
  </si>
  <si>
    <t>-</t>
  </si>
  <si>
    <t xml:space="preserve"># Vessels </t>
  </si>
  <si>
    <t xml:space="preserve">Obj. Value </t>
  </si>
  <si>
    <t>Infesible</t>
  </si>
  <si>
    <t>ALNS HEURISTIC</t>
  </si>
  <si>
    <t>PFB HEURISTIC</t>
  </si>
  <si>
    <t>ALNS VS PFB</t>
  </si>
  <si>
    <t>GUROBI</t>
  </si>
  <si>
    <t>ALNS VS GUROBI</t>
  </si>
  <si>
    <t>Test Instance</t>
  </si>
  <si>
    <t>Obj. Value [NOK]</t>
  </si>
  <si>
    <t>Min Obj. Value</t>
  </si>
  <si>
    <t>CV</t>
  </si>
  <si>
    <t>Time [s]</t>
  </si>
  <si>
    <t xml:space="preserve">𝚫Obj. Value </t>
  </si>
  <si>
    <t>𝚫 Time</t>
  </si>
  <si>
    <t>Gap</t>
  </si>
  <si>
    <t xml:space="preserve">O4-C1-R1-V1-E1 </t>
  </si>
  <si>
    <t>O6-C2-R1-V2-E1</t>
  </si>
  <si>
    <t>O8-C2-R1-V3-E1</t>
  </si>
  <si>
    <t>O10-C2-R1-V4-E1</t>
  </si>
  <si>
    <t>O12-C2-R1-V4-E1</t>
  </si>
  <si>
    <t>O14-C2-R1-V5-E1</t>
  </si>
  <si>
    <t>O16-C2-R1-V5-E1</t>
  </si>
  <si>
    <t>O18-C3-R1-V6-E1</t>
  </si>
  <si>
    <t>O20-C3-R1-V6-E1</t>
  </si>
  <si>
    <t>O22-C4-R1-V7-E1</t>
  </si>
  <si>
    <t>O4-C1-R1-V1-E0.5</t>
  </si>
  <si>
    <t>O6-C2-R1-V3-E0.5</t>
  </si>
  <si>
    <t>O8-C2-R1-V3-E0.5</t>
  </si>
  <si>
    <t>O10-C2-R1-V4-E0.5</t>
  </si>
  <si>
    <t>O12-C2-R1-V4-E0.5</t>
  </si>
  <si>
    <t>O14-C2-R1-V5-E0.5</t>
  </si>
  <si>
    <t>O16-C2-R1-V5-E0.5</t>
  </si>
  <si>
    <t>O18-C3-R1-V6-E0.5</t>
  </si>
  <si>
    <t>O20-C3-R1-V6-E0.5</t>
  </si>
  <si>
    <t>O22-C4-R1-V7-E0.5</t>
  </si>
  <si>
    <t>O4-C1-R1-V1-E0.3</t>
  </si>
  <si>
    <t>O6-C2-R1-V2-E0.3</t>
  </si>
  <si>
    <t>O8-C2-R1-V3-E0.3</t>
  </si>
  <si>
    <t>O10-C2-R1-V4-E0.3*</t>
  </si>
  <si>
    <t>O12-C2-R1-V4-E0.3</t>
  </si>
  <si>
    <t>O14-C2-R1-V5-E0.3*</t>
  </si>
  <si>
    <t>O16-C2-R1-V5-E0.3</t>
  </si>
  <si>
    <t>O18-C3-R1-V6-E0.3</t>
  </si>
  <si>
    <t>O20-C3-R1-V6-E0.3*</t>
  </si>
  <si>
    <t>O22-C4-R1-V7-E0.3</t>
  </si>
  <si>
    <t>O4-C1-R2-V1-E1</t>
  </si>
  <si>
    <t>O6-C2-R2-V2-E1</t>
  </si>
  <si>
    <t>O8-C2-R2-V3-E1</t>
  </si>
  <si>
    <t>O10-C2-R2-V3-E1</t>
  </si>
  <si>
    <t>O12-C2-R2-V4-E1</t>
  </si>
  <si>
    <t>O14-C2-R2-V4-E1</t>
  </si>
  <si>
    <t>O16-C3-R2-V5-E1</t>
  </si>
  <si>
    <t>O18-C3-R2-V6-E1</t>
  </si>
  <si>
    <t>O20-C3-R2-V6-E1</t>
  </si>
  <si>
    <t>O22-C4-R2-V7-E1</t>
  </si>
  <si>
    <t>O4-C1-R2-V1-E0.5</t>
  </si>
  <si>
    <t>O6-C2-R2-V2-E0.5</t>
  </si>
  <si>
    <t>O8-C2-R2-V3-E0.5</t>
  </si>
  <si>
    <t>O10-C2-R2-V3-E0.5</t>
  </si>
  <si>
    <t>O12-C2-R2-V4-E0.5</t>
  </si>
  <si>
    <t>O14-C2-R2-V4-E0.5</t>
  </si>
  <si>
    <t>O16-C2-R2-V5-E0.5</t>
  </si>
  <si>
    <t>O18-C3-R2-V6-E0.5</t>
  </si>
  <si>
    <t>O20-C3-R2-V6-E0.5</t>
  </si>
  <si>
    <t>O22-C4-R2-V7-E0.5</t>
  </si>
  <si>
    <t>O4-C1-R2-V1-E0.3</t>
  </si>
  <si>
    <t>O6-C2-R2-V2-E0.3*</t>
  </si>
  <si>
    <t>O8-C2-R2-V3-E0.3</t>
  </si>
  <si>
    <t>O10-C2-R2-V3-E0.3*</t>
  </si>
  <si>
    <t>O12-C2-R2-V4-E0.3*</t>
  </si>
  <si>
    <t>O14-C2-R2-V4-E0.3*</t>
  </si>
  <si>
    <t>O16-C2-R2-V5-E0.3</t>
  </si>
  <si>
    <t>O18-C3-R2-V6-E0.3</t>
  </si>
  <si>
    <t>O20-C3-R2-V6-E0.3*</t>
  </si>
  <si>
    <t>O22-C4-R2-V7-E0.3</t>
  </si>
  <si>
    <t>O4-C1-R3-V1-E1</t>
  </si>
  <si>
    <t>O6-C2-R3-V2-E1</t>
  </si>
  <si>
    <t>O8-C2-R3-V3-E1</t>
  </si>
  <si>
    <t>O10-C2-R3-V3-E1</t>
  </si>
  <si>
    <t>O12-C2-R3-V4-E1</t>
  </si>
  <si>
    <t>O14-C2-R3-V4-E1</t>
  </si>
  <si>
    <t>O16-C3-R3-V5-E1</t>
  </si>
  <si>
    <t>O18-C3-R3-V5-E1</t>
  </si>
  <si>
    <t>O20-C3-R3-V6-E1</t>
  </si>
  <si>
    <t>O22-C4-R3-V7-E1</t>
  </si>
  <si>
    <t>O4-C1-R3-V1-E0.5</t>
  </si>
  <si>
    <t>O6-C2-R3-V2-E0.5</t>
  </si>
  <si>
    <t>O8-C2-R3-V3-E0.5</t>
  </si>
  <si>
    <t>O10-C2-R3-V3-E0.5</t>
  </si>
  <si>
    <t>O12-C2-R3-V4-E0.5</t>
  </si>
  <si>
    <t>O14-C2-R3-V4-E0.5</t>
  </si>
  <si>
    <t>O16-C2-R3-V5-E0.5</t>
  </si>
  <si>
    <t>O18-C3-R3-V5-E0.5</t>
  </si>
  <si>
    <t>O20-C3-R3-V6-E0.5</t>
  </si>
  <si>
    <t>O22-C4-R3-V7-E0.5</t>
  </si>
  <si>
    <t>O4-C1-R3-V1-E0.3</t>
  </si>
  <si>
    <t>O6-C2-R3-V2-E0.3</t>
  </si>
  <si>
    <t>O8-C2-R3-V3-E0.3</t>
  </si>
  <si>
    <t>O10-C2-R3-V3-E0.3*</t>
  </si>
  <si>
    <t>O12-C2-R3-V4-E0.3</t>
  </si>
  <si>
    <t>O14-C2-R3-V4-E0.3*</t>
  </si>
  <si>
    <t>O16-C2-R3-V5-E0.3</t>
  </si>
  <si>
    <t>O18-C3-R3-V5-E0.3*</t>
  </si>
  <si>
    <t>O20-C3-R3-V6-E0.3*</t>
  </si>
  <si>
    <t>O22-C4-R3-V7-E0.3</t>
  </si>
  <si>
    <t>O4-C1-R4-V2-E1</t>
  </si>
  <si>
    <t>O6-C2-R4-V2-E1</t>
  </si>
  <si>
    <t>O8-C2-R4-V3-E1</t>
  </si>
  <si>
    <t>O10-C2-R4-V3-E1*</t>
  </si>
  <si>
    <t>O12-C2-R4-V4-E1</t>
  </si>
  <si>
    <t>O14-C2-R4-V5-E1</t>
  </si>
  <si>
    <t>O16-C3-R4-V5-E1</t>
  </si>
  <si>
    <t>O18-C3-R4-V6-E1</t>
  </si>
  <si>
    <t>O20-C3-R4-V6-E1</t>
  </si>
  <si>
    <t>O22-C4-R4-V7-E1</t>
  </si>
  <si>
    <t>O4-C1-R4-V2-E0.5</t>
  </si>
  <si>
    <t>O6-C2-R4-V2-E0.5</t>
  </si>
  <si>
    <t>O8-C2-R4-V3-E0.5</t>
  </si>
  <si>
    <t>O10-C2-R4-V3-E0.5*</t>
  </si>
  <si>
    <t>O12-C2-R4-V4-E0.5</t>
  </si>
  <si>
    <t>O14-C2-R4-V4-E0.5</t>
  </si>
  <si>
    <t>O16-C2-R4-V5-E0.5</t>
  </si>
  <si>
    <t>O18-C3-R4-V5-E0.5*</t>
  </si>
  <si>
    <t>O20-C3-R4-V6-E0.5</t>
  </si>
  <si>
    <t>O22-C4-R4-V7-E0.5</t>
  </si>
  <si>
    <t>O4-C1-R4-V2-E0.3</t>
  </si>
  <si>
    <t>O6-C2-R4-V2-E0.3</t>
  </si>
  <si>
    <t>O8-C2-R4-V3-E0.3*</t>
  </si>
  <si>
    <t>O10-C2-R4-V3-E0.3*</t>
  </si>
  <si>
    <t>O12-C2-R4-V4-E0.3*</t>
  </si>
  <si>
    <t>O14-C2-R4-V4-E0.3*</t>
  </si>
  <si>
    <t>O16-C2-R4-V5-E0.3*</t>
  </si>
  <si>
    <t>O18-C3-R4-V5-E0.3*</t>
  </si>
  <si>
    <t>O20-C3-R4-V6-E0.3*</t>
  </si>
  <si>
    <t>O22-C4-R4-V7-E0.3</t>
  </si>
  <si>
    <t>O4-C1-R5-V1-E1</t>
  </si>
  <si>
    <t>O6-C2-R5-V3-E1</t>
  </si>
  <si>
    <t>O8-C2-R5-V3-E1</t>
  </si>
  <si>
    <t>O10-C2-R5-V4-E1</t>
  </si>
  <si>
    <t>O12-C2-R5-V4-E1</t>
  </si>
  <si>
    <t>O14-C2-R5-V5-E1</t>
  </si>
  <si>
    <t>O16-C3-R5-V5-E1</t>
  </si>
  <si>
    <t>O18-C3-R5-V6-E1</t>
  </si>
  <si>
    <t>O20-C3-R5-V6-E1</t>
  </si>
  <si>
    <t>O22-C4-R5-V7-E1</t>
  </si>
  <si>
    <t>O4-C1-R5-V1-E0.5</t>
  </si>
  <si>
    <t>O6-C2-R5-V3-E0.5</t>
  </si>
  <si>
    <t>O8-C2-R5-V3-E0.5</t>
  </si>
  <si>
    <t>O10-C2-R5-V4-E0.5</t>
  </si>
  <si>
    <t>O12-C2-R5-V4-E0.5*</t>
  </si>
  <si>
    <t>O14-C2-R5-V5-E0.5</t>
  </si>
  <si>
    <t>O16-C2-R5-V5-E0.5</t>
  </si>
  <si>
    <t>O18-C3-R5-V6-E0.5</t>
  </si>
  <si>
    <t>O20-C3-R5-V6-E0.5</t>
  </si>
  <si>
    <t>O22-C4-R5-V7-E0.5</t>
  </si>
  <si>
    <t>O4-C1-R5-V1-E0.3</t>
  </si>
  <si>
    <t>O6-C2-R5-V3-E0.3</t>
  </si>
  <si>
    <t>O8-C2-R5-V3-E0.3*</t>
  </si>
  <si>
    <t>O10-C2-R5-V4-E0.3</t>
  </si>
  <si>
    <t>O12-C2-R5-V4-E0.3*</t>
  </si>
  <si>
    <t>O14-C2-R5-V5-E0.3*</t>
  </si>
  <si>
    <t>O16-C2-R5-V5-E0.3*</t>
  </si>
  <si>
    <t>O18-C3-R5-V6-E0.3</t>
  </si>
  <si>
    <t>O20-C3-R5-V6-E0.3*</t>
  </si>
  <si>
    <t>O22-C4-R5-V7-E0.3</t>
  </si>
  <si>
    <t>O23-C4-V7-E1</t>
  </si>
  <si>
    <t>O23-C4-V7-E0.5</t>
  </si>
  <si>
    <t>O23-C4-V7-E0.3</t>
  </si>
  <si>
    <t>O10-C2-R1-V4-E0.3</t>
  </si>
  <si>
    <t>O14-C2-R1-V5-E0.3</t>
  </si>
  <si>
    <t>O20-C3-R1-V6-E0.3</t>
  </si>
  <si>
    <t>O6-C2-R2-V2-E0.3</t>
  </si>
  <si>
    <t>O10-C2-R2-V3-E0.3</t>
  </si>
  <si>
    <t>O12-C2-R2-V4-E0.3</t>
  </si>
  <si>
    <t>O14-C2-R2-V4-E0.3</t>
  </si>
  <si>
    <t>O20-C3-R2-V6-E0.3</t>
  </si>
  <si>
    <t>O10-C2-R3-V3-E0.3</t>
  </si>
  <si>
    <t>O14-C2-R3-V4-E0.3</t>
  </si>
  <si>
    <t>O18-C3-R3-V5-E0.3</t>
  </si>
  <si>
    <t>O20-C3-R3-V6-E0.3</t>
  </si>
  <si>
    <t>O10-C2-R4-V4-E1</t>
  </si>
  <si>
    <t>O10-C2-R4-V4-E0.5</t>
  </si>
  <si>
    <t>O14-C2-R4-V5-E0.5</t>
  </si>
  <si>
    <t>O18-C3-R4-V6-E0.5</t>
  </si>
  <si>
    <t>O8-C2-R4-V3-E0.3</t>
  </si>
  <si>
    <t>O10-C2-R4-V4-E0.3</t>
  </si>
  <si>
    <t>O12-C2-R4-V4-E0.3</t>
  </si>
  <si>
    <t>O14-C2-R4-V5-E0.3</t>
  </si>
  <si>
    <t>O16-C2-R4-V5-E0.3</t>
  </si>
  <si>
    <t>O18-C3-R4-V6-E0.3</t>
  </si>
  <si>
    <t>O20-C3-R4-V6-E0.3</t>
  </si>
  <si>
    <t>O12-C2-R5-V4-E0.5</t>
  </si>
  <si>
    <t>O8-C2-R5-V3-E0.3</t>
  </si>
  <si>
    <t>O12-C2-R5-V4-E0.3</t>
  </si>
  <si>
    <t>O14-C2-R5-V5-E0.3</t>
  </si>
  <si>
    <t>O16-C2-R5-V5-E0.3</t>
  </si>
  <si>
    <t>O20-C3-R5-V6-E0.3</t>
  </si>
  <si>
    <t>All locations-E1</t>
  </si>
  <si>
    <t>All locations-E0.5</t>
  </si>
  <si>
    <t>All locations-E0.3</t>
  </si>
  <si>
    <t>O18-C3-R1-V5-E1*</t>
  </si>
  <si>
    <t>O18-C3-R1-V6-E0.5*</t>
  </si>
  <si>
    <t>O18-C3-R1-V6-E0.3*</t>
  </si>
  <si>
    <t>O6-C1-R4-V2-E1</t>
  </si>
  <si>
    <t>O8-C1-R4-V3-E1</t>
  </si>
  <si>
    <t>O10-C2-R4-V4-E1*</t>
  </si>
  <si>
    <t>O16-C2-R4-V5-E1</t>
  </si>
  <si>
    <t>O20-C4-R4-V6-E1</t>
  </si>
  <si>
    <t>O6-C1-R4-V2-E0.5</t>
  </si>
  <si>
    <t>O8-C1-R4-V3-E0.5</t>
  </si>
  <si>
    <t>O10-C2-R4-V4-E0.5*</t>
  </si>
  <si>
    <t>O20-C4-R4-V6-E0.5</t>
  </si>
  <si>
    <t>O6-C1-R4-V2-E0.3</t>
  </si>
  <si>
    <t>O10-C2-R4-V4-E0.3*</t>
  </si>
  <si>
    <t>O20-C4-R4-V6-E0.3</t>
  </si>
  <si>
    <t>O6-C1-R5-V3-E1</t>
  </si>
  <si>
    <t>O20-C4-R5-V6-E1</t>
  </si>
  <si>
    <t>O4-C1-R5-V1-E0.3*</t>
  </si>
  <si>
    <t>O6-C2-R5-V3-E0.3*</t>
  </si>
  <si>
    <t>Weather scenario 1080</t>
  </si>
  <si>
    <t>Test Group</t>
  </si>
  <si>
    <t>Gap_LB</t>
  </si>
  <si>
    <t>𝚫Obj. Value Gurobi</t>
  </si>
  <si>
    <t>𝚫Obj. Value PFB</t>
  </si>
  <si>
    <t>𝚫Obj. Value PFB min</t>
  </si>
  <si>
    <t>O4</t>
  </si>
  <si>
    <t>O6</t>
  </si>
  <si>
    <t>O8</t>
  </si>
  <si>
    <t>O10</t>
  </si>
  <si>
    <t>O12</t>
  </si>
  <si>
    <t>O14</t>
  </si>
  <si>
    <t>O16</t>
  </si>
  <si>
    <t>O18</t>
  </si>
  <si>
    <t>O20</t>
  </si>
  <si>
    <t>O22</t>
  </si>
  <si>
    <t>O23</t>
  </si>
  <si>
    <t>Average</t>
  </si>
  <si>
    <t xml:space="preserve">Average </t>
  </si>
  <si>
    <t>𝚫 Time PFB</t>
  </si>
  <si>
    <t>Comparison</t>
  </si>
  <si>
    <t>Summary of Instance Groups</t>
  </si>
  <si>
    <t xml:space="preserve">Test instance </t>
  </si>
  <si>
    <t>Still (Actual)</t>
  </si>
  <si>
    <t>Comparsion</t>
  </si>
  <si>
    <t>Still (Plan)</t>
  </si>
  <si>
    <t xml:space="preserve">Costs </t>
  </si>
  <si>
    <t xml:space="preserve">Alpha violation </t>
  </si>
  <si>
    <t>Return time viol.</t>
  </si>
  <si>
    <t>R1-1</t>
  </si>
  <si>
    <t>R1-0.5</t>
  </si>
  <si>
    <t>R1-0.3</t>
  </si>
  <si>
    <t>R2-1</t>
  </si>
  <si>
    <t>R2-0.5</t>
  </si>
  <si>
    <t>R2-0.3</t>
  </si>
  <si>
    <t>Good</t>
  </si>
  <si>
    <t>Medium</t>
  </si>
  <si>
    <t>Severe</t>
  </si>
  <si>
    <t xml:space="preserve">Severe </t>
  </si>
  <si>
    <t>Good (Actual)</t>
  </si>
  <si>
    <t>Medium (Actual)</t>
  </si>
  <si>
    <t>Good (Plan)</t>
  </si>
  <si>
    <t>Medium(Plan)</t>
  </si>
  <si>
    <t>Severe (Actual)</t>
  </si>
  <si>
    <t>Severe (Plan)</t>
  </si>
  <si>
    <t xml:space="preserve">Impact of Weather </t>
  </si>
  <si>
    <t>PFB heuristic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</si>
</sst>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\ %"/>
    <numFmt numFmtId="165" formatCode="0.0"/>
    <numFmt numFmtId="166" formatCode="0.0%"/>
  </numFmts>
  <fonts count="21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rgb="FFF0F7FF"/>
      <name val="Aptos Narrow"/>
      <family val="2"/>
      <scheme val="minor"/>
    </font>
    <font>
      <sz val="11"/>
      <color rgb="FFF0F7FF"/>
      <name val="Calibri"/>
      <family val="2"/>
    </font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2"/>
      <color theme="1"/>
      <name val="Aptos"/>
    </font>
    <font>
      <b/>
      <sz val="12"/>
      <color theme="1"/>
      <name val="Aptos"/>
    </font>
    <font>
      <sz val="12"/>
      <color rgb="FF000000"/>
      <name val="Aptos"/>
    </font>
    <font>
      <b/>
      <sz val="13"/>
      <color theme="1"/>
      <name val="Aptos Narrow"/>
      <family val="2"/>
      <scheme val="minor"/>
    </font>
    <font>
      <sz val="13"/>
      <color theme="1"/>
      <name val="Aptos Narrow"/>
      <family val="2"/>
      <scheme val="minor"/>
    </font>
    <font>
      <b/>
      <sz val="13"/>
      <color rgb="FF242424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b/>
      <sz val="20"/>
      <color theme="1"/>
      <name val="Aptos Narrow"/>
      <scheme val="minor"/>
    </font>
    <font>
      <b/>
      <sz val="20"/>
      <color theme="1"/>
      <name val="Aptos"/>
    </font>
  </fonts>
  <fills count="2">
    <fill>
      <patternFill patternType="none"/>
    </fill>
    <fill>
      <patternFill patternType="gray125"/>
    </fill>
  </fills>
  <borders count="2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 style="medium">
        <color rgb="FF000000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rgb="FF000000"/>
      </right>
      <top/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/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indexed="64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rgb="FF000000"/>
      </left>
      <right style="medium">
        <color rgb="FF000000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13">
    <xf numFmtId="0" fontId="0" fillId="0" borderId="0" xfId="0"/>
    <xf numFmtId="0" fontId="3" fillId="0" borderId="0" xfId="0" applyFont="1"/>
    <xf numFmtId="0" fontId="0" fillId="0" borderId="0" xfId="0" applyFill="1" applyBorder="1"/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right"/>
    </xf>
    <xf numFmtId="2" fontId="5" fillId="0" borderId="0" xfId="0" applyNumberFormat="1" applyFont="1" applyFill="1" applyBorder="1" applyAlignment="1">
      <alignment horizontal="left"/>
    </xf>
    <xf numFmtId="2" fontId="0" fillId="0" borderId="0" xfId="0" applyNumberFormat="1" applyFill="1" applyBorder="1" applyAlignment="1">
      <alignment horizontal="left"/>
    </xf>
    <xf numFmtId="0" fontId="5" fillId="0" borderId="0" xfId="0" applyFont="1" applyFill="1" applyBorder="1" applyAlignment="1">
      <alignment horizontal="left"/>
    </xf>
    <xf numFmtId="0" fontId="9" fillId="0" borderId="0" xfId="0" applyFont="1" applyFill="1" applyBorder="1"/>
    <xf numFmtId="0" fontId="10" fillId="0" borderId="0" xfId="0" applyFont="1" applyFill="1" applyBorder="1"/>
    <xf numFmtId="0" fontId="10" fillId="0" borderId="0" xfId="0" applyFont="1" applyFill="1" applyBorder="1" applyAlignment="1">
      <alignment horizontal="left"/>
    </xf>
    <xf numFmtId="2" fontId="10" fillId="0" borderId="0" xfId="0" applyNumberFormat="1" applyFont="1" applyFill="1" applyBorder="1" applyAlignment="1">
      <alignment horizontal="left"/>
    </xf>
    <xf numFmtId="0" fontId="11" fillId="0" borderId="0" xfId="0" applyFont="1" applyFill="1" applyBorder="1" applyAlignment="1">
      <alignment horizontal="left"/>
    </xf>
    <xf numFmtId="0" fontId="0" fillId="0" borderId="0" xfId="0" applyAlignment="1">
      <alignment horizontal="left"/>
    </xf>
    <xf numFmtId="0" fontId="0" fillId="0" borderId="0" xfId="0" applyFill="1" applyBorder="1" applyAlignment="1">
      <alignment horizontal="left"/>
    </xf>
    <xf numFmtId="0" fontId="13" fillId="0" borderId="0" xfId="0" applyFont="1" applyFill="1" applyBorder="1" applyAlignment="1">
      <alignment horizontal="left"/>
    </xf>
    <xf numFmtId="0" fontId="14" fillId="0" borderId="0" xfId="0" applyFont="1" applyFill="1" applyBorder="1" applyAlignment="1">
      <alignment horizontal="left"/>
    </xf>
    <xf numFmtId="0" fontId="13" fillId="0" borderId="0" xfId="0" applyFont="1" applyFill="1" applyBorder="1" applyAlignment="1">
      <alignment horizontal="center"/>
    </xf>
    <xf numFmtId="0" fontId="15" fillId="0" borderId="0" xfId="0" applyFont="1" applyFill="1" applyBorder="1" applyAlignment="1">
      <alignment horizontal="left"/>
    </xf>
    <xf numFmtId="0" fontId="1" fillId="0" borderId="0" xfId="0" applyFont="1" applyFill="1" applyBorder="1" applyAlignment="1">
      <alignment horizontal="left"/>
    </xf>
    <xf numFmtId="164" fontId="0" fillId="0" borderId="0" xfId="1" applyNumberFormat="1" applyFont="1" applyFill="1" applyBorder="1" applyAlignment="1">
      <alignment horizontal="left"/>
    </xf>
    <xf numFmtId="0" fontId="0" fillId="0" borderId="0" xfId="1" applyNumberFormat="1" applyFont="1" applyFill="1" applyBorder="1" applyAlignment="1">
      <alignment horizontal="right" wrapText="1"/>
    </xf>
    <xf numFmtId="10" fontId="0" fillId="0" borderId="0" xfId="0" applyNumberFormat="1" applyFill="1" applyBorder="1" applyAlignment="1">
      <alignment horizontal="left"/>
    </xf>
    <xf numFmtId="0" fontId="9" fillId="0" borderId="0" xfId="0" applyFont="1" applyFill="1" applyBorder="1" applyAlignment="1">
      <alignment horizontal="center"/>
    </xf>
    <xf numFmtId="0" fontId="9" fillId="0" borderId="0" xfId="0" applyFont="1" applyFill="1" applyBorder="1" applyAlignment="1">
      <alignment horizontal="center"/>
    </xf>
    <xf numFmtId="0" fontId="17" fillId="0" borderId="0" xfId="0" applyFont="1" applyFill="1" applyBorder="1"/>
    <xf numFmtId="10" fontId="0" fillId="0" borderId="0" xfId="1" applyNumberFormat="1" applyFont="1" applyFill="1" applyBorder="1" applyAlignment="1">
      <alignment horizontal="left"/>
    </xf>
    <xf numFmtId="9" fontId="0" fillId="0" borderId="0" xfId="1" applyFont="1" applyFill="1" applyBorder="1" applyAlignment="1">
      <alignment horizontal="left"/>
    </xf>
    <xf numFmtId="2" fontId="0" fillId="0" borderId="0" xfId="0" applyNumberFormat="1" applyFill="1" applyBorder="1" applyAlignment="1">
      <alignment horizontal="left" wrapText="1"/>
    </xf>
    <xf numFmtId="10" fontId="0" fillId="0" borderId="0" xfId="0" applyNumberFormat="1" applyFill="1" applyBorder="1" applyAlignment="1">
      <alignment horizontal="left" wrapText="1"/>
    </xf>
    <xf numFmtId="10" fontId="0" fillId="0" borderId="0" xfId="1" applyNumberFormat="1" applyFont="1" applyFill="1" applyBorder="1" applyAlignment="1">
      <alignment horizontal="left" wrapText="1"/>
    </xf>
    <xf numFmtId="9" fontId="0" fillId="0" borderId="0" xfId="1" applyFont="1" applyFill="1" applyBorder="1" applyAlignment="1">
      <alignment horizontal="left" wrapText="1"/>
    </xf>
    <xf numFmtId="0" fontId="0" fillId="0" borderId="0" xfId="0" applyFill="1" applyBorder="1" applyAlignment="1">
      <alignment horizontal="left" wrapText="1"/>
    </xf>
    <xf numFmtId="9" fontId="0" fillId="0" borderId="0" xfId="0" applyNumberFormat="1" applyFill="1" applyBorder="1" applyAlignment="1">
      <alignment horizontal="left" wrapText="1"/>
    </xf>
    <xf numFmtId="9" fontId="0" fillId="0" borderId="0" xfId="0" applyNumberFormat="1" applyFill="1" applyBorder="1" applyAlignment="1">
      <alignment horizontal="left"/>
    </xf>
    <xf numFmtId="0" fontId="9" fillId="0" borderId="0" xfId="0" applyFont="1" applyFill="1" applyBorder="1" applyAlignment="1">
      <alignment horizontal="left"/>
    </xf>
    <xf numFmtId="0" fontId="7" fillId="0" borderId="0" xfId="0" applyFont="1" applyFill="1" applyBorder="1" applyAlignment="1">
      <alignment horizontal="left"/>
    </xf>
    <xf numFmtId="10" fontId="8" fillId="0" borderId="0" xfId="1" applyNumberFormat="1" applyFont="1" applyFill="1" applyBorder="1" applyAlignment="1">
      <alignment horizontal="left" wrapText="1"/>
    </xf>
    <xf numFmtId="0" fontId="16" fillId="0" borderId="0" xfId="0" applyFont="1" applyFill="1" applyBorder="1" applyAlignment="1">
      <alignment horizontal="left"/>
    </xf>
    <xf numFmtId="0" fontId="2" fillId="0" borderId="0" xfId="0" applyFont="1" applyFill="1" applyBorder="1" applyAlignment="1">
      <alignment horizontal="left"/>
    </xf>
    <xf numFmtId="0" fontId="9" fillId="0" borderId="0" xfId="0" applyFont="1" applyFill="1" applyBorder="1" applyAlignment="1">
      <alignment horizontal="left"/>
    </xf>
    <xf numFmtId="0" fontId="6" fillId="0" borderId="0" xfId="0" applyFont="1" applyFill="1" applyBorder="1" applyAlignment="1">
      <alignment horizontal="left"/>
    </xf>
    <xf numFmtId="165" fontId="0" fillId="0" borderId="0" xfId="0" applyNumberFormat="1" applyFill="1" applyBorder="1" applyAlignment="1">
      <alignment horizontal="left"/>
    </xf>
    <xf numFmtId="166" fontId="0" fillId="0" borderId="0" xfId="0" applyNumberFormat="1" applyFill="1" applyBorder="1" applyAlignment="1">
      <alignment horizontal="left"/>
    </xf>
    <xf numFmtId="164" fontId="0" fillId="0" borderId="0" xfId="0" applyNumberFormat="1" applyFill="1" applyBorder="1" applyAlignment="1">
      <alignment horizontal="left"/>
    </xf>
    <xf numFmtId="0" fontId="3" fillId="0" borderId="1" xfId="0" applyFont="1" applyBorder="1"/>
    <xf numFmtId="0" fontId="3" fillId="0" borderId="15" xfId="0" applyFont="1" applyBorder="1"/>
    <xf numFmtId="0" fontId="3" fillId="0" borderId="6" xfId="0" applyFont="1" applyBorder="1" applyAlignment="1">
      <alignment horizontal="center"/>
    </xf>
    <xf numFmtId="0" fontId="3" fillId="0" borderId="16" xfId="0" applyFont="1" applyBorder="1" applyAlignment="1">
      <alignment horizontal="center"/>
    </xf>
    <xf numFmtId="0" fontId="3" fillId="0" borderId="3" xfId="0" applyFont="1" applyBorder="1"/>
    <xf numFmtId="0" fontId="3" fillId="0" borderId="14" xfId="0" applyFont="1" applyBorder="1"/>
    <xf numFmtId="0" fontId="3" fillId="0" borderId="4" xfId="0" applyFont="1" applyBorder="1" applyAlignment="1">
      <alignment horizontal="center"/>
    </xf>
    <xf numFmtId="0" fontId="3" fillId="0" borderId="19" xfId="0" applyFont="1" applyBorder="1" applyAlignment="1">
      <alignment horizontal="center"/>
    </xf>
    <xf numFmtId="0" fontId="3" fillId="0" borderId="18" xfId="0" applyFont="1" applyBorder="1"/>
    <xf numFmtId="0" fontId="3" fillId="0" borderId="20" xfId="0" applyFont="1" applyBorder="1"/>
    <xf numFmtId="0" fontId="3" fillId="0" borderId="21" xfId="0" applyFont="1" applyBorder="1"/>
    <xf numFmtId="0" fontId="3" fillId="0" borderId="5" xfId="0" applyFont="1" applyBorder="1" applyAlignment="1">
      <alignment horizontal="center"/>
    </xf>
    <xf numFmtId="0" fontId="3" fillId="0" borderId="12" xfId="0" applyFont="1" applyBorder="1"/>
    <xf numFmtId="2" fontId="18" fillId="0" borderId="0" xfId="0" applyNumberFormat="1" applyFont="1" applyAlignment="1">
      <alignment horizontal="left" wrapText="1"/>
    </xf>
    <xf numFmtId="10" fontId="18" fillId="0" borderId="0" xfId="0" applyNumberFormat="1" applyFont="1" applyAlignment="1">
      <alignment horizontal="left" wrapText="1"/>
    </xf>
    <xf numFmtId="0" fontId="0" fillId="0" borderId="0" xfId="0" applyFill="1" applyBorder="1" applyAlignment="1">
      <alignment horizontal="center"/>
    </xf>
    <xf numFmtId="165" fontId="18" fillId="0" borderId="0" xfId="0" applyNumberFormat="1" applyFont="1" applyAlignment="1">
      <alignment horizontal="left"/>
    </xf>
    <xf numFmtId="166" fontId="18" fillId="0" borderId="0" xfId="0" applyNumberFormat="1" applyFont="1" applyAlignment="1">
      <alignment horizontal="left"/>
    </xf>
    <xf numFmtId="2" fontId="12" fillId="0" borderId="0" xfId="0" applyNumberFormat="1" applyFont="1" applyAlignment="1">
      <alignment horizontal="left"/>
    </xf>
    <xf numFmtId="0" fontId="3" fillId="0" borderId="0" xfId="0" applyFont="1" applyFill="1" applyBorder="1" applyAlignment="1">
      <alignment horizontal="left"/>
    </xf>
    <xf numFmtId="2" fontId="3" fillId="0" borderId="0" xfId="0" applyNumberFormat="1" applyFont="1" applyFill="1" applyBorder="1" applyAlignment="1">
      <alignment horizontal="left"/>
    </xf>
    <xf numFmtId="0" fontId="4" fillId="0" borderId="0" xfId="0" applyFont="1" applyFill="1" applyBorder="1" applyAlignment="1">
      <alignment horizontal="left"/>
    </xf>
    <xf numFmtId="2" fontId="4" fillId="0" borderId="0" xfId="0" applyNumberFormat="1" applyFont="1" applyFill="1" applyBorder="1" applyAlignment="1">
      <alignment horizontal="left"/>
    </xf>
    <xf numFmtId="2" fontId="0" fillId="0" borderId="0" xfId="1" applyNumberFormat="1" applyFont="1" applyFill="1" applyBorder="1" applyAlignment="1">
      <alignment horizontal="left"/>
    </xf>
    <xf numFmtId="2" fontId="7" fillId="0" borderId="0" xfId="0" applyNumberFormat="1" applyFont="1" applyFill="1" applyBorder="1" applyAlignment="1">
      <alignment horizontal="left"/>
    </xf>
    <xf numFmtId="0" fontId="3" fillId="0" borderId="6" xfId="0" applyFont="1" applyBorder="1" applyAlignment="1">
      <alignment horizontal="center"/>
    </xf>
    <xf numFmtId="0" fontId="3" fillId="0" borderId="9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19" fillId="0" borderId="0" xfId="0" applyFont="1" applyFill="1" applyBorder="1" applyAlignment="1">
      <alignment horizontal="left"/>
    </xf>
    <xf numFmtId="0" fontId="19" fillId="0" borderId="0" xfId="0" applyFont="1" applyFill="1" applyBorder="1"/>
    <xf numFmtId="0" fontId="19" fillId="0" borderId="0" xfId="0" applyFont="1"/>
    <xf numFmtId="0" fontId="20" fillId="0" borderId="0" xfId="0" applyFont="1" applyFill="1" applyBorder="1"/>
    <xf numFmtId="0" fontId="3" fillId="0" borderId="3" xfId="0" applyFont="1" applyBorder="1" applyAlignment="1">
      <alignment horizontal="left"/>
    </xf>
    <xf numFmtId="0" fontId="3" fillId="0" borderId="22" xfId="0" applyFont="1" applyBorder="1" applyAlignment="1">
      <alignment horizontal="left"/>
    </xf>
    <xf numFmtId="0" fontId="3" fillId="0" borderId="11" xfId="0" applyFont="1" applyBorder="1" applyAlignment="1">
      <alignment horizontal="left"/>
    </xf>
    <xf numFmtId="9" fontId="3" fillId="0" borderId="11" xfId="0" applyNumberFormat="1" applyFont="1" applyBorder="1" applyAlignment="1">
      <alignment horizontal="left"/>
    </xf>
    <xf numFmtId="0" fontId="3" fillId="0" borderId="2" xfId="0" applyFont="1" applyBorder="1" applyAlignment="1">
      <alignment horizontal="left"/>
    </xf>
    <xf numFmtId="9" fontId="3" fillId="0" borderId="23" xfId="0" applyNumberFormat="1" applyFont="1" applyBorder="1" applyAlignment="1">
      <alignment horizontal="left"/>
    </xf>
    <xf numFmtId="164" fontId="3" fillId="0" borderId="23" xfId="0" applyNumberFormat="1" applyFont="1" applyBorder="1" applyAlignment="1">
      <alignment horizontal="left"/>
    </xf>
    <xf numFmtId="2" fontId="3" fillId="0" borderId="11" xfId="0" applyNumberFormat="1" applyFont="1" applyBorder="1" applyAlignment="1">
      <alignment horizontal="left"/>
    </xf>
    <xf numFmtId="164" fontId="3" fillId="0" borderId="24" xfId="0" applyNumberFormat="1" applyFont="1" applyBorder="1" applyAlignment="1">
      <alignment horizontal="left"/>
    </xf>
    <xf numFmtId="2" fontId="3" fillId="0" borderId="22" xfId="0" applyNumberFormat="1" applyFont="1" applyBorder="1" applyAlignment="1">
      <alignment horizontal="left"/>
    </xf>
    <xf numFmtId="0" fontId="3" fillId="0" borderId="21" xfId="0" applyFont="1" applyBorder="1" applyAlignment="1">
      <alignment horizontal="left"/>
    </xf>
    <xf numFmtId="9" fontId="3" fillId="0" borderId="21" xfId="0" applyNumberFormat="1" applyFont="1" applyBorder="1" applyAlignment="1">
      <alignment horizontal="left"/>
    </xf>
    <xf numFmtId="0" fontId="3" fillId="0" borderId="0" xfId="0" applyFont="1" applyAlignment="1">
      <alignment horizontal="left"/>
    </xf>
    <xf numFmtId="9" fontId="3" fillId="0" borderId="25" xfId="0" applyNumberFormat="1" applyFont="1" applyBorder="1" applyAlignment="1">
      <alignment horizontal="left"/>
    </xf>
    <xf numFmtId="164" fontId="3" fillId="0" borderId="25" xfId="0" applyNumberFormat="1" applyFont="1" applyBorder="1" applyAlignment="1">
      <alignment horizontal="left"/>
    </xf>
    <xf numFmtId="2" fontId="3" fillId="0" borderId="21" xfId="0" applyNumberFormat="1" applyFont="1" applyBorder="1" applyAlignment="1">
      <alignment horizontal="left"/>
    </xf>
    <xf numFmtId="10" fontId="3" fillId="0" borderId="21" xfId="0" applyNumberFormat="1" applyFont="1" applyBorder="1" applyAlignment="1">
      <alignment horizontal="left"/>
    </xf>
    <xf numFmtId="164" fontId="3" fillId="0" borderId="22" xfId="0" applyNumberFormat="1" applyFont="1" applyBorder="1" applyAlignment="1">
      <alignment horizontal="left"/>
    </xf>
    <xf numFmtId="164" fontId="3" fillId="0" borderId="21" xfId="0" applyNumberFormat="1" applyFont="1" applyBorder="1" applyAlignment="1">
      <alignment horizontal="left"/>
    </xf>
    <xf numFmtId="0" fontId="3" fillId="0" borderId="18" xfId="0" applyFont="1" applyBorder="1" applyAlignment="1">
      <alignment horizontal="left"/>
    </xf>
    <xf numFmtId="0" fontId="3" fillId="0" borderId="20" xfId="0" applyFont="1" applyBorder="1" applyAlignment="1">
      <alignment horizontal="left"/>
    </xf>
    <xf numFmtId="2" fontId="3" fillId="0" borderId="17" xfId="0" applyNumberFormat="1" applyFont="1" applyBorder="1" applyAlignment="1">
      <alignment horizontal="left"/>
    </xf>
    <xf numFmtId="9" fontId="3" fillId="0" borderId="17" xfId="0" applyNumberFormat="1" applyFont="1" applyBorder="1" applyAlignment="1">
      <alignment horizontal="left"/>
    </xf>
    <xf numFmtId="0" fontId="3" fillId="0" borderId="17" xfId="0" applyFont="1" applyBorder="1" applyAlignment="1">
      <alignment horizontal="left"/>
    </xf>
    <xf numFmtId="0" fontId="3" fillId="0" borderId="4" xfId="0" applyFont="1" applyBorder="1" applyAlignment="1">
      <alignment horizontal="left"/>
    </xf>
    <xf numFmtId="9" fontId="3" fillId="0" borderId="26" xfId="0" applyNumberFormat="1" applyFont="1" applyBorder="1" applyAlignment="1">
      <alignment horizontal="left"/>
    </xf>
    <xf numFmtId="164" fontId="3" fillId="0" borderId="26" xfId="0" applyNumberFormat="1" applyFont="1" applyBorder="1" applyAlignment="1">
      <alignment horizontal="left"/>
    </xf>
    <xf numFmtId="10" fontId="3" fillId="0" borderId="17" xfId="0" applyNumberFormat="1" applyFont="1" applyBorder="1" applyAlignment="1">
      <alignment horizontal="left"/>
    </xf>
    <xf numFmtId="164" fontId="3" fillId="0" borderId="20" xfId="0" applyNumberFormat="1" applyFont="1" applyBorder="1" applyAlignment="1">
      <alignment horizontal="left"/>
    </xf>
    <xf numFmtId="164" fontId="3" fillId="0" borderId="11" xfId="0" applyNumberFormat="1" applyFont="1" applyBorder="1" applyAlignment="1">
      <alignment horizontal="left"/>
    </xf>
    <xf numFmtId="164" fontId="3" fillId="0" borderId="27" xfId="0" applyNumberFormat="1" applyFont="1" applyBorder="1" applyAlignment="1">
      <alignment horizontal="left"/>
    </xf>
    <xf numFmtId="164" fontId="3" fillId="0" borderId="12" xfId="0" applyNumberFormat="1" applyFont="1" applyBorder="1" applyAlignment="1">
      <alignment horizontal="left"/>
    </xf>
    <xf numFmtId="164" fontId="3" fillId="0" borderId="17" xfId="0" applyNumberFormat="1" applyFont="1" applyBorder="1" applyAlignment="1">
      <alignment horizontal="left"/>
    </xf>
    <xf numFmtId="164" fontId="3" fillId="0" borderId="13" xfId="0" applyNumberFormat="1" applyFont="1" applyBorder="1" applyAlignment="1">
      <alignment horizontal="left"/>
    </xf>
  </cellXfs>
  <cellStyles count="2">
    <cellStyle name="Normal" xfId="0" builtinId="0"/>
    <cellStyle name="Pros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studntnu-my.sharepoint.com/personal/ihsandba_ntnu_no/Documents/Resultater%20fra%20modell.xlsx" TargetMode="External"/><Relationship Id="rId1" Type="http://schemas.openxmlformats.org/officeDocument/2006/relationships/externalLinkPath" Target="https://studntnu-my.sharepoint.com/personal/ihsandba_ntnu_no/Documents/Resultater%20fra%20model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iesel Benchmark"/>
      <sheetName val="Impact of Weather Modeling"/>
      <sheetName val="Speed Optimization"/>
      <sheetName val="Battery Sizes"/>
      <sheetName val="Hyperparameter Tuning"/>
      <sheetName val="Subproblem tests"/>
      <sheetName val="Comparison"/>
      <sheetName val="ALNS"/>
      <sheetName val="Gurobi tests"/>
      <sheetName val="PFB tests"/>
      <sheetName val="PFB_gammel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>
        <row r="6">
          <cell r="Z6">
            <v>45047.16</v>
          </cell>
          <cell r="AA6">
            <v>45047.16</v>
          </cell>
          <cell r="AD6">
            <v>0</v>
          </cell>
          <cell r="AE6">
            <v>17.661999999999999</v>
          </cell>
        </row>
        <row r="7">
          <cell r="Z7">
            <v>70318.98</v>
          </cell>
          <cell r="AA7">
            <v>70318.98</v>
          </cell>
          <cell r="AD7">
            <v>0</v>
          </cell>
          <cell r="AE7">
            <v>27.536000000000001</v>
          </cell>
        </row>
        <row r="8">
          <cell r="Z8">
            <v>98933.75</v>
          </cell>
          <cell r="AA8">
            <v>98933.75</v>
          </cell>
          <cell r="AD8">
            <v>0</v>
          </cell>
          <cell r="AE8">
            <v>34.853999999999999</v>
          </cell>
        </row>
        <row r="9">
          <cell r="Z9">
            <v>108756.86000000002</v>
          </cell>
          <cell r="AA9">
            <v>108756.86</v>
          </cell>
          <cell r="AD9">
            <v>1.4959549058993913E-16</v>
          </cell>
          <cell r="AE9">
            <v>37.869999999999997</v>
          </cell>
        </row>
        <row r="10">
          <cell r="Z10">
            <v>130620.78400000001</v>
          </cell>
          <cell r="AA10">
            <v>129148.88</v>
          </cell>
          <cell r="AD10">
            <v>1.543006783824858E-2</v>
          </cell>
          <cell r="AE10">
            <v>53.432000000000002</v>
          </cell>
        </row>
        <row r="11">
          <cell r="Z11">
            <v>140401.96</v>
          </cell>
          <cell r="AA11">
            <v>140401.96</v>
          </cell>
          <cell r="AD11">
            <v>0</v>
          </cell>
          <cell r="AE11">
            <v>54.077999999999996</v>
          </cell>
        </row>
        <row r="12">
          <cell r="Z12">
            <v>169573.33</v>
          </cell>
          <cell r="AA12">
            <v>169573.33</v>
          </cell>
          <cell r="AD12">
            <v>0</v>
          </cell>
          <cell r="AE12">
            <v>77.089999999999989</v>
          </cell>
        </row>
        <row r="13">
          <cell r="Z13">
            <v>194291.63799999998</v>
          </cell>
          <cell r="AA13">
            <v>193498.88</v>
          </cell>
          <cell r="AD13">
            <v>8.478509202511357E-3</v>
          </cell>
          <cell r="AE13">
            <v>69.224000000000004</v>
          </cell>
        </row>
        <row r="14">
          <cell r="Z14">
            <v>207887.75</v>
          </cell>
          <cell r="AA14">
            <v>207887.75</v>
          </cell>
          <cell r="AD14">
            <v>0</v>
          </cell>
          <cell r="AE14">
            <v>117.65</v>
          </cell>
        </row>
        <row r="15">
          <cell r="Z15">
            <v>226406.21799999996</v>
          </cell>
          <cell r="AA15">
            <v>226246.06</v>
          </cell>
          <cell r="AD15">
            <v>6.8140930860930923E-4</v>
          </cell>
          <cell r="AE15">
            <v>150.24600000000001</v>
          </cell>
        </row>
        <row r="17">
          <cell r="Z17">
            <v>55370.469999999994</v>
          </cell>
          <cell r="AA17">
            <v>55370.47</v>
          </cell>
          <cell r="AD17">
            <v>1.469152765609659E-16</v>
          </cell>
          <cell r="AE17">
            <v>17.738</v>
          </cell>
        </row>
        <row r="18">
          <cell r="Z18">
            <v>86433.75</v>
          </cell>
          <cell r="AA18">
            <v>86433.75</v>
          </cell>
          <cell r="AD18">
            <v>0</v>
          </cell>
          <cell r="AE18">
            <v>28.192</v>
          </cell>
        </row>
        <row r="19">
          <cell r="Z19">
            <v>123112.67</v>
          </cell>
          <cell r="AA19">
            <v>123112.67</v>
          </cell>
          <cell r="AD19">
            <v>0</v>
          </cell>
          <cell r="AE19">
            <v>42.994000000000007</v>
          </cell>
        </row>
        <row r="20">
          <cell r="Z20">
            <v>135955.74</v>
          </cell>
          <cell r="AA20">
            <v>135955.74</v>
          </cell>
          <cell r="AD20">
            <v>0</v>
          </cell>
          <cell r="AE20">
            <v>49.89</v>
          </cell>
        </row>
        <row r="21">
          <cell r="Z21">
            <v>163180.75200000001</v>
          </cell>
          <cell r="AA21">
            <v>162576.29999999999</v>
          </cell>
          <cell r="AD21">
            <v>8.0970638888777074E-3</v>
          </cell>
          <cell r="AE21">
            <v>77.612000000000009</v>
          </cell>
        </row>
        <row r="22">
          <cell r="Z22">
            <v>176626.28</v>
          </cell>
          <cell r="AA22">
            <v>176626.28</v>
          </cell>
          <cell r="AD22">
            <v>0</v>
          </cell>
          <cell r="AE22">
            <v>76.516000000000005</v>
          </cell>
        </row>
        <row r="23">
          <cell r="Z23">
            <v>213725.15</v>
          </cell>
          <cell r="AA23">
            <v>213725.15</v>
          </cell>
          <cell r="AD23">
            <v>0</v>
          </cell>
          <cell r="AE23">
            <v>172.01000000000002</v>
          </cell>
        </row>
        <row r="24">
          <cell r="Z24">
            <v>245288.03199999998</v>
          </cell>
          <cell r="AA24">
            <v>243544.98</v>
          </cell>
          <cell r="AD24">
            <v>9.6151920290326754E-3</v>
          </cell>
          <cell r="AE24">
            <v>119.70399999999999</v>
          </cell>
        </row>
        <row r="25">
          <cell r="Z25">
            <v>260945.83</v>
          </cell>
          <cell r="AA25">
            <v>260945.83</v>
          </cell>
          <cell r="AD25">
            <v>0</v>
          </cell>
          <cell r="AE25">
            <v>200.084</v>
          </cell>
        </row>
        <row r="26">
          <cell r="Z26">
            <v>283048.21000000002</v>
          </cell>
          <cell r="AA26">
            <v>282575.43</v>
          </cell>
          <cell r="AD26">
            <v>1.5067684753166471E-3</v>
          </cell>
          <cell r="AE26">
            <v>166.874</v>
          </cell>
        </row>
        <row r="28">
          <cell r="Z28">
            <v>59499.79</v>
          </cell>
          <cell r="AA28">
            <v>59499.79</v>
          </cell>
          <cell r="AD28">
            <v>0</v>
          </cell>
          <cell r="AE28">
            <v>17.78</v>
          </cell>
        </row>
        <row r="29">
          <cell r="Z29">
            <v>98041.93</v>
          </cell>
          <cell r="AA29">
            <v>98041.93</v>
          </cell>
          <cell r="AD29">
            <v>0</v>
          </cell>
          <cell r="AE29">
            <v>31.771999999999998</v>
          </cell>
        </row>
        <row r="30">
          <cell r="Z30">
            <v>142569.78</v>
          </cell>
          <cell r="AA30">
            <v>142569.78</v>
          </cell>
          <cell r="AD30">
            <v>0</v>
          </cell>
          <cell r="AE30">
            <v>64.8</v>
          </cell>
        </row>
        <row r="31">
          <cell r="Z31">
            <v>165521.86600000001</v>
          </cell>
          <cell r="AA31">
            <v>164711.65</v>
          </cell>
          <cell r="AD31">
            <v>1.0945369915404268E-2</v>
          </cell>
          <cell r="AE31">
            <v>119.304</v>
          </cell>
        </row>
        <row r="32">
          <cell r="Z32">
            <v>194273.66199999995</v>
          </cell>
          <cell r="AA32">
            <v>193779.56</v>
          </cell>
          <cell r="AD32">
            <v>3.5884847623880852E-3</v>
          </cell>
          <cell r="AE32">
            <v>232.20999999999998</v>
          </cell>
        </row>
        <row r="33">
          <cell r="Z33">
            <v>214236.31200000001</v>
          </cell>
          <cell r="AA33">
            <v>212767.24</v>
          </cell>
          <cell r="AD33">
            <v>5.5540472531171621E-3</v>
          </cell>
          <cell r="AE33">
            <v>305.78399999999999</v>
          </cell>
        </row>
        <row r="34">
          <cell r="Z34">
            <v>252059.39199999999</v>
          </cell>
          <cell r="AA34">
            <v>251238.64</v>
          </cell>
          <cell r="AD34">
            <v>3.9866601096386562E-3</v>
          </cell>
          <cell r="AE34">
            <v>449.55600000000004</v>
          </cell>
        </row>
        <row r="35">
          <cell r="Z35">
            <v>289175.29399999999</v>
          </cell>
          <cell r="AA35">
            <v>286954.40999999997</v>
          </cell>
          <cell r="AD35">
            <v>6.1542347689123303E-3</v>
          </cell>
          <cell r="AE35">
            <v>288.822</v>
          </cell>
        </row>
        <row r="36">
          <cell r="Z36">
            <v>305986.49399999995</v>
          </cell>
          <cell r="AA36">
            <v>301992.02</v>
          </cell>
          <cell r="AD36">
            <v>8.9600172464094612E-3</v>
          </cell>
          <cell r="AE36">
            <v>499.35200000000003</v>
          </cell>
        </row>
        <row r="37">
          <cell r="Z37">
            <v>328455.12</v>
          </cell>
          <cell r="AA37">
            <v>326825.68</v>
          </cell>
          <cell r="AD37">
            <v>4.3881906914033332E-3</v>
          </cell>
          <cell r="AE37">
            <v>386.73999999999995</v>
          </cell>
        </row>
        <row r="39">
          <cell r="Z39">
            <v>38622.160000000003</v>
          </cell>
          <cell r="AA39">
            <v>38622.160000000003</v>
          </cell>
          <cell r="AD39">
            <v>0</v>
          </cell>
          <cell r="AE39">
            <v>14.791999999999998</v>
          </cell>
        </row>
        <row r="40">
          <cell r="Z40">
            <v>70962.429999999993</v>
          </cell>
          <cell r="AA40">
            <v>70962.429999999993</v>
          </cell>
          <cell r="AD40">
            <v>0</v>
          </cell>
          <cell r="AE40">
            <v>21.481999999999999</v>
          </cell>
        </row>
        <row r="41">
          <cell r="Z41">
            <v>88320.24</v>
          </cell>
          <cell r="AA41">
            <v>88320.24</v>
          </cell>
          <cell r="AD41">
            <v>0</v>
          </cell>
          <cell r="AE41">
            <v>28.564</v>
          </cell>
        </row>
        <row r="42">
          <cell r="Z42">
            <v>111788.54</v>
          </cell>
          <cell r="AA42">
            <v>111788.54</v>
          </cell>
          <cell r="AD42">
            <v>0</v>
          </cell>
          <cell r="AE42">
            <v>37.508000000000003</v>
          </cell>
        </row>
        <row r="43">
          <cell r="Z43">
            <v>132215.35999999999</v>
          </cell>
          <cell r="AA43">
            <v>132215.35999999999</v>
          </cell>
          <cell r="AD43">
            <v>0</v>
          </cell>
          <cell r="AE43">
            <v>47.760000000000005</v>
          </cell>
        </row>
        <row r="44">
          <cell r="Z44">
            <v>144711.01</v>
          </cell>
          <cell r="AA44">
            <v>144711.01</v>
          </cell>
          <cell r="AD44">
            <v>0</v>
          </cell>
          <cell r="AE44">
            <v>69.45</v>
          </cell>
        </row>
        <row r="45">
          <cell r="Z45">
            <v>170393.94</v>
          </cell>
          <cell r="AA45">
            <v>170393.94</v>
          </cell>
          <cell r="AD45">
            <v>0</v>
          </cell>
          <cell r="AE45">
            <v>84.021999999999991</v>
          </cell>
        </row>
        <row r="46">
          <cell r="Z46">
            <v>190508.25399999999</v>
          </cell>
          <cell r="AA46">
            <v>189689.77</v>
          </cell>
          <cell r="AD46">
            <v>4.2998208030766072E-3</v>
          </cell>
          <cell r="AE46">
            <v>79.16</v>
          </cell>
        </row>
        <row r="47">
          <cell r="Z47">
            <v>206574.99799999996</v>
          </cell>
          <cell r="AA47">
            <v>206325.59</v>
          </cell>
          <cell r="AD47">
            <v>2.6997131672840255E-3</v>
          </cell>
          <cell r="AE47">
            <v>110.35599999999999</v>
          </cell>
        </row>
        <row r="48">
          <cell r="Z48">
            <v>229109.63999999998</v>
          </cell>
          <cell r="AA48">
            <v>229078.88</v>
          </cell>
          <cell r="AD48">
            <v>7.5052986626689201E-5</v>
          </cell>
          <cell r="AE48">
            <v>101.306</v>
          </cell>
        </row>
        <row r="50">
          <cell r="Z50">
            <v>47473.07</v>
          </cell>
          <cell r="AA50">
            <v>47473.07</v>
          </cell>
          <cell r="AD50">
            <v>0</v>
          </cell>
          <cell r="AE50">
            <v>14.681999999999999</v>
          </cell>
        </row>
        <row r="51">
          <cell r="Z51">
            <v>89102.01</v>
          </cell>
          <cell r="AA51">
            <v>89102.01</v>
          </cell>
          <cell r="AD51">
            <v>0</v>
          </cell>
          <cell r="AE51">
            <v>38.637999999999998</v>
          </cell>
        </row>
        <row r="52">
          <cell r="Z52">
            <v>113228.42</v>
          </cell>
          <cell r="AA52">
            <v>113228.42</v>
          </cell>
          <cell r="AD52">
            <v>0</v>
          </cell>
          <cell r="AE52">
            <v>47.609999999999992</v>
          </cell>
        </row>
        <row r="53">
          <cell r="Z53">
            <v>140103.20000000001</v>
          </cell>
          <cell r="AA53">
            <v>140103.20000000001</v>
          </cell>
          <cell r="AD53">
            <v>0</v>
          </cell>
          <cell r="AE53">
            <v>64.47999999999999</v>
          </cell>
        </row>
        <row r="54">
          <cell r="Z54">
            <v>166821.76000000001</v>
          </cell>
          <cell r="AA54">
            <v>166821.76000000001</v>
          </cell>
          <cell r="AD54">
            <v>0</v>
          </cell>
          <cell r="AE54">
            <v>121.03600000000002</v>
          </cell>
        </row>
        <row r="55">
          <cell r="Z55">
            <v>182181</v>
          </cell>
          <cell r="AA55">
            <v>182181</v>
          </cell>
          <cell r="AD55">
            <v>0</v>
          </cell>
          <cell r="AE55">
            <v>186.80200000000002</v>
          </cell>
        </row>
        <row r="56">
          <cell r="Z56">
            <v>214003.40600000002</v>
          </cell>
          <cell r="AA56">
            <v>213830.9</v>
          </cell>
          <cell r="AD56">
            <v>7.4642469176233403E-4</v>
          </cell>
          <cell r="AE56">
            <v>197.57400000000001</v>
          </cell>
        </row>
        <row r="57">
          <cell r="Z57">
            <v>240225.56</v>
          </cell>
          <cell r="AA57">
            <v>239150.42</v>
          </cell>
          <cell r="AD57">
            <v>3.6058926086998716E-3</v>
          </cell>
          <cell r="AE57">
            <v>168.202</v>
          </cell>
        </row>
        <row r="58">
          <cell r="Z58">
            <v>262164.56200000003</v>
          </cell>
          <cell r="AA58">
            <v>262073.51</v>
          </cell>
          <cell r="AD58">
            <v>2.1719075173578798E-4</v>
          </cell>
          <cell r="AE58">
            <v>240.52800000000002</v>
          </cell>
        </row>
        <row r="59">
          <cell r="Z59">
            <v>288035.41799999995</v>
          </cell>
          <cell r="AA59">
            <v>287313.36</v>
          </cell>
          <cell r="AD59">
            <v>2.1684005914543634E-3</v>
          </cell>
          <cell r="AE59">
            <v>163.768</v>
          </cell>
        </row>
        <row r="61">
          <cell r="Z61">
            <v>68730.83</v>
          </cell>
          <cell r="AA61">
            <v>68730.83</v>
          </cell>
          <cell r="AD61">
            <v>0</v>
          </cell>
          <cell r="AE61">
            <v>40.587999999999994</v>
          </cell>
        </row>
        <row r="62">
          <cell r="Z62">
            <v>117604.66</v>
          </cell>
          <cell r="AA62">
            <v>117587.79</v>
          </cell>
          <cell r="AD62">
            <v>3.2075656509209801E-4</v>
          </cell>
          <cell r="AE62">
            <v>65.917999999999992</v>
          </cell>
        </row>
        <row r="63">
          <cell r="Z63">
            <v>182540.098</v>
          </cell>
          <cell r="AA63">
            <v>182277.01</v>
          </cell>
          <cell r="AD63">
            <v>1.3156856474069332E-3</v>
          </cell>
          <cell r="AE63">
            <v>107.44200000000001</v>
          </cell>
        </row>
        <row r="64">
          <cell r="Z64">
            <v>169861.908</v>
          </cell>
          <cell r="AA64">
            <v>165779.49</v>
          </cell>
          <cell r="AD64">
            <v>2.2121045101472232E-2</v>
          </cell>
          <cell r="AE64">
            <v>162.25799999999998</v>
          </cell>
        </row>
        <row r="65">
          <cell r="Z65">
            <v>196343.13</v>
          </cell>
          <cell r="AA65">
            <v>196343.13</v>
          </cell>
          <cell r="AD65">
            <v>0</v>
          </cell>
          <cell r="AE65">
            <v>285.654</v>
          </cell>
        </row>
        <row r="66">
          <cell r="Z66">
            <v>222295.90600000002</v>
          </cell>
          <cell r="AA66">
            <v>220993.17</v>
          </cell>
          <cell r="AD66">
            <v>5.4390783554016213E-3</v>
          </cell>
          <cell r="AE66">
            <v>429.71800000000002</v>
          </cell>
        </row>
        <row r="67">
          <cell r="Z67">
            <v>246070.43599999999</v>
          </cell>
          <cell r="AA67">
            <v>245495.07</v>
          </cell>
          <cell r="AD67">
            <v>1.3963804072466342E-3</v>
          </cell>
          <cell r="AE67">
            <v>448.03399999999999</v>
          </cell>
        </row>
        <row r="68">
          <cell r="Z68">
            <v>282351.55000000005</v>
          </cell>
          <cell r="AA68">
            <v>280110</v>
          </cell>
          <cell r="AD68">
            <v>7.6448701895674336E-3</v>
          </cell>
          <cell r="AE68">
            <v>386.08600000000001</v>
          </cell>
        </row>
        <row r="69">
          <cell r="Z69">
            <v>304859.51399999997</v>
          </cell>
          <cell r="AA69">
            <v>304083.64</v>
          </cell>
          <cell r="AD69">
            <v>2.0803994750558741E-3</v>
          </cell>
          <cell r="AE69">
            <v>488.80600000000004</v>
          </cell>
        </row>
        <row r="70">
          <cell r="Z70">
            <v>338984.75599999999</v>
          </cell>
          <cell r="AA70">
            <v>335535.05</v>
          </cell>
          <cell r="AD70">
            <v>8.2976544204358873E-3</v>
          </cell>
          <cell r="AE70">
            <v>467.94399999999996</v>
          </cell>
        </row>
        <row r="72">
          <cell r="Z72">
            <v>38500.26</v>
          </cell>
          <cell r="AA72">
            <v>38500.26</v>
          </cell>
          <cell r="AD72">
            <v>0</v>
          </cell>
          <cell r="AE72">
            <v>14.634</v>
          </cell>
        </row>
        <row r="73">
          <cell r="Z73">
            <v>64509.839999999989</v>
          </cell>
          <cell r="AA73">
            <v>64509.84</v>
          </cell>
          <cell r="AD73">
            <v>1.2610119500157908E-16</v>
          </cell>
          <cell r="AE73">
            <v>21.574000000000002</v>
          </cell>
        </row>
        <row r="74">
          <cell r="Z74">
            <v>88037.64</v>
          </cell>
          <cell r="AA74">
            <v>88037.64</v>
          </cell>
          <cell r="AD74">
            <v>0</v>
          </cell>
          <cell r="AE74">
            <v>28.022000000000002</v>
          </cell>
        </row>
        <row r="75">
          <cell r="Z75">
            <v>106011.56000000001</v>
          </cell>
          <cell r="AA75">
            <v>106011.56</v>
          </cell>
          <cell r="AD75">
            <v>1.5346945018752038E-16</v>
          </cell>
          <cell r="AE75">
            <v>42.332000000000001</v>
          </cell>
        </row>
        <row r="76">
          <cell r="Z76">
            <v>122970.03800000002</v>
          </cell>
          <cell r="AA76">
            <v>122766.41</v>
          </cell>
          <cell r="AD76">
            <v>3.7027397691974931E-3</v>
          </cell>
          <cell r="AE76">
            <v>51.974000000000004</v>
          </cell>
        </row>
        <row r="77">
          <cell r="Z77">
            <v>131637.75200000001</v>
          </cell>
          <cell r="AA77">
            <v>130549.61</v>
          </cell>
          <cell r="AD77">
            <v>9.3074285404069496E-3</v>
          </cell>
          <cell r="AE77">
            <v>63.806000000000004</v>
          </cell>
        </row>
        <row r="78">
          <cell r="Z78">
            <v>161873.204</v>
          </cell>
          <cell r="AA78">
            <v>161818.16</v>
          </cell>
          <cell r="AD78">
            <v>4.6562432370386795E-4</v>
          </cell>
          <cell r="AE78">
            <v>71.242000000000004</v>
          </cell>
        </row>
        <row r="79">
          <cell r="Z79">
            <v>174086.81</v>
          </cell>
          <cell r="AA79">
            <v>174086.81</v>
          </cell>
          <cell r="AD79">
            <v>0</v>
          </cell>
          <cell r="AE79">
            <v>88.823999999999998</v>
          </cell>
        </row>
        <row r="80">
          <cell r="Z80">
            <v>203843.23000000004</v>
          </cell>
          <cell r="AA80">
            <v>202990.16</v>
          </cell>
          <cell r="AD80">
            <v>5.4601025250008836E-3</v>
          </cell>
          <cell r="AE80">
            <v>91.286000000000001</v>
          </cell>
        </row>
        <row r="81">
          <cell r="Z81">
            <v>230972.212</v>
          </cell>
          <cell r="AA81">
            <v>230904.35</v>
          </cell>
          <cell r="AD81">
            <v>4.8549516511651439E-4</v>
          </cell>
          <cell r="AE81">
            <v>102.44800000000001</v>
          </cell>
        </row>
        <row r="83">
          <cell r="Z83">
            <v>47323.24</v>
          </cell>
          <cell r="AA83">
            <v>47323.24</v>
          </cell>
          <cell r="AD83">
            <v>0</v>
          </cell>
          <cell r="AE83">
            <v>15.12</v>
          </cell>
        </row>
        <row r="84">
          <cell r="Z84">
            <v>79293.34</v>
          </cell>
          <cell r="AA84">
            <v>79293.34</v>
          </cell>
          <cell r="AD84">
            <v>0</v>
          </cell>
          <cell r="AE84">
            <v>22.666</v>
          </cell>
        </row>
        <row r="85">
          <cell r="Z85">
            <v>117750.8</v>
          </cell>
          <cell r="AA85">
            <v>117750.8</v>
          </cell>
          <cell r="AD85">
            <v>0</v>
          </cell>
          <cell r="AE85">
            <v>31.310000000000002</v>
          </cell>
        </row>
        <row r="86">
          <cell r="Z86">
            <v>133469.84</v>
          </cell>
          <cell r="AA86">
            <v>133469.84</v>
          </cell>
          <cell r="AD86">
            <v>0</v>
          </cell>
          <cell r="AE86">
            <v>76.3</v>
          </cell>
        </row>
        <row r="87">
          <cell r="Z87">
            <v>154446.17399999997</v>
          </cell>
          <cell r="AA87">
            <v>154371.43</v>
          </cell>
          <cell r="AD87">
            <v>3.5422783230587465E-4</v>
          </cell>
          <cell r="AE87">
            <v>87.495999999999995</v>
          </cell>
        </row>
        <row r="88">
          <cell r="Z88">
            <v>164682.734</v>
          </cell>
          <cell r="AA88">
            <v>163986.89000000001</v>
          </cell>
          <cell r="AD88">
            <v>5.7858138198115805E-3</v>
          </cell>
          <cell r="AE88">
            <v>118.002</v>
          </cell>
        </row>
        <row r="89">
          <cell r="Z89">
            <v>201592.72800000003</v>
          </cell>
          <cell r="AA89">
            <v>201498.54</v>
          </cell>
          <cell r="AD89">
            <v>6.1085846411386402E-4</v>
          </cell>
          <cell r="AE89">
            <v>120.726</v>
          </cell>
        </row>
        <row r="90">
          <cell r="Z90">
            <v>217798.46000000002</v>
          </cell>
          <cell r="AA90">
            <v>217798.46</v>
          </cell>
          <cell r="AD90">
            <v>1.4939991611255037E-16</v>
          </cell>
          <cell r="AE90">
            <v>149.964</v>
          </cell>
        </row>
        <row r="91">
          <cell r="Z91">
            <v>253976.06</v>
          </cell>
          <cell r="AA91">
            <v>253976.06</v>
          </cell>
          <cell r="AD91">
            <v>0</v>
          </cell>
          <cell r="AE91">
            <v>162.09399999999999</v>
          </cell>
        </row>
        <row r="92">
          <cell r="Z92">
            <v>288331.75199999998</v>
          </cell>
          <cell r="AA92">
            <v>288242.88</v>
          </cell>
          <cell r="AD92">
            <v>6.8921938675819202E-4</v>
          </cell>
          <cell r="AE92">
            <v>146.14600000000002</v>
          </cell>
        </row>
        <row r="94">
          <cell r="Z94">
            <v>54855.06</v>
          </cell>
          <cell r="AA94">
            <v>54855.06</v>
          </cell>
          <cell r="AD94">
            <v>0</v>
          </cell>
          <cell r="AE94">
            <v>15.351999999999999</v>
          </cell>
        </row>
        <row r="95">
          <cell r="Z95">
            <v>103388.95</v>
          </cell>
          <cell r="AA95">
            <v>103388.95</v>
          </cell>
          <cell r="AD95">
            <v>0</v>
          </cell>
          <cell r="AE95">
            <v>28.089999999999996</v>
          </cell>
        </row>
        <row r="96">
          <cell r="Z96">
            <v>139888.28</v>
          </cell>
          <cell r="AA96">
            <v>139888.28</v>
          </cell>
          <cell r="AD96">
            <v>0</v>
          </cell>
          <cell r="AE96">
            <v>38.481999999999999</v>
          </cell>
        </row>
        <row r="97">
          <cell r="Z97">
            <v>159701.81</v>
          </cell>
          <cell r="AA97">
            <v>159701.81</v>
          </cell>
          <cell r="AD97">
            <v>0</v>
          </cell>
          <cell r="AE97">
            <v>253.92599999999999</v>
          </cell>
        </row>
        <row r="98">
          <cell r="Z98">
            <v>185924.83</v>
          </cell>
          <cell r="AA98">
            <v>185924.83</v>
          </cell>
          <cell r="AD98">
            <v>0</v>
          </cell>
          <cell r="AE98">
            <v>435.834</v>
          </cell>
        </row>
        <row r="99">
          <cell r="Z99">
            <v>203001.9</v>
          </cell>
          <cell r="AA99">
            <v>202917.91</v>
          </cell>
          <cell r="AD99">
            <v>5.9366791105486326E-4</v>
          </cell>
          <cell r="AE99">
            <v>1063.944</v>
          </cell>
        </row>
        <row r="100">
          <cell r="Z100">
            <v>234385.56599999996</v>
          </cell>
          <cell r="AA100">
            <v>233881.06</v>
          </cell>
          <cell r="AD100">
            <v>1.5911566069017633E-3</v>
          </cell>
          <cell r="AE100">
            <v>367.62</v>
          </cell>
        </row>
        <row r="101">
          <cell r="Z101">
            <v>251990.68199999997</v>
          </cell>
          <cell r="AA101">
            <v>251977.93</v>
          </cell>
          <cell r="AD101">
            <v>2.8289080594933948E-5</v>
          </cell>
          <cell r="AE101">
            <v>486.79400000000004</v>
          </cell>
        </row>
        <row r="102">
          <cell r="Z102">
            <v>303279.03399999999</v>
          </cell>
          <cell r="AA102">
            <v>302087.73</v>
          </cell>
          <cell r="AD102">
            <v>4.2309836783022093E-3</v>
          </cell>
          <cell r="AE102">
            <v>567.66200000000003</v>
          </cell>
        </row>
        <row r="103">
          <cell r="Z103">
            <v>337751.48199999996</v>
          </cell>
          <cell r="AA103">
            <v>337113.63</v>
          </cell>
          <cell r="AD103">
            <v>1.5505657585436314E-3</v>
          </cell>
          <cell r="AE103">
            <v>342.78999999999996</v>
          </cell>
        </row>
        <row r="105">
          <cell r="Z105">
            <v>55719.199999999997</v>
          </cell>
          <cell r="AA105">
            <v>55719.199999999997</v>
          </cell>
          <cell r="AD105">
            <v>0</v>
          </cell>
          <cell r="AE105">
            <v>15.142000000000001</v>
          </cell>
        </row>
        <row r="106">
          <cell r="Z106">
            <v>68436.31</v>
          </cell>
          <cell r="AA106">
            <v>68436.31</v>
          </cell>
          <cell r="AD106">
            <v>0</v>
          </cell>
          <cell r="AE106">
            <v>22.148000000000003</v>
          </cell>
        </row>
        <row r="107">
          <cell r="Z107">
            <v>107375.82000000002</v>
          </cell>
          <cell r="AA107">
            <v>107375.82</v>
          </cell>
          <cell r="AD107">
            <v>1.5151954906347935E-16</v>
          </cell>
          <cell r="AE107">
            <v>31.066000000000003</v>
          </cell>
        </row>
        <row r="108">
          <cell r="Z108">
            <v>134497.57</v>
          </cell>
          <cell r="AA108">
            <v>134497.57</v>
          </cell>
          <cell r="AD108">
            <v>0</v>
          </cell>
          <cell r="AE108">
            <v>40.911999999999999</v>
          </cell>
        </row>
        <row r="109">
          <cell r="Z109">
            <v>142512.20000000001</v>
          </cell>
          <cell r="AA109">
            <v>142512.20000000001</v>
          </cell>
          <cell r="AD109">
            <v>0</v>
          </cell>
          <cell r="AE109">
            <v>49.637999999999998</v>
          </cell>
        </row>
        <row r="110">
          <cell r="Z110">
            <v>148294</v>
          </cell>
          <cell r="AA110">
            <v>148294</v>
          </cell>
          <cell r="AD110">
            <v>0</v>
          </cell>
          <cell r="AE110">
            <v>78.62</v>
          </cell>
        </row>
        <row r="111">
          <cell r="Z111">
            <v>180312.02</v>
          </cell>
          <cell r="AA111">
            <v>180312.02</v>
          </cell>
          <cell r="AD111">
            <v>0</v>
          </cell>
          <cell r="AE111">
            <v>96.768000000000001</v>
          </cell>
        </row>
        <row r="112">
          <cell r="Z112">
            <v>187230.804</v>
          </cell>
          <cell r="AA112">
            <v>186706.28</v>
          </cell>
          <cell r="AD112">
            <v>3.8360892093487892E-3</v>
          </cell>
          <cell r="AE112">
            <v>97.322000000000003</v>
          </cell>
        </row>
        <row r="113">
          <cell r="Z113">
            <v>213432.48000000004</v>
          </cell>
          <cell r="AA113">
            <v>213432.48</v>
          </cell>
          <cell r="AD113">
            <v>1.5245604442886413E-16</v>
          </cell>
          <cell r="AE113">
            <v>106.306</v>
          </cell>
        </row>
        <row r="114">
          <cell r="Z114">
            <v>231152.34</v>
          </cell>
          <cell r="AA114">
            <v>231152.34</v>
          </cell>
          <cell r="AD114">
            <v>0</v>
          </cell>
          <cell r="AE114">
            <v>100.014</v>
          </cell>
        </row>
        <row r="116">
          <cell r="Z116">
            <v>68488.22</v>
          </cell>
          <cell r="AA116">
            <v>68488.22</v>
          </cell>
          <cell r="AD116">
            <v>0</v>
          </cell>
          <cell r="AE116">
            <v>15.546000000000001</v>
          </cell>
        </row>
        <row r="117">
          <cell r="Z117">
            <v>84119.66</v>
          </cell>
          <cell r="AA117">
            <v>84119.66</v>
          </cell>
          <cell r="AD117">
            <v>0</v>
          </cell>
          <cell r="AE117">
            <v>22.128</v>
          </cell>
        </row>
        <row r="118">
          <cell r="Z118">
            <v>136465.04</v>
          </cell>
          <cell r="AA118">
            <v>136465.04</v>
          </cell>
          <cell r="AD118">
            <v>0</v>
          </cell>
          <cell r="AE118">
            <v>35.797999999999995</v>
          </cell>
        </row>
        <row r="119">
          <cell r="Z119">
            <v>165737.24</v>
          </cell>
          <cell r="AA119">
            <v>165737.24</v>
          </cell>
          <cell r="AD119">
            <v>0</v>
          </cell>
          <cell r="AE119">
            <v>47.831999999999994</v>
          </cell>
        </row>
        <row r="120">
          <cell r="Z120">
            <v>184868.02</v>
          </cell>
          <cell r="AA120">
            <v>184868.02</v>
          </cell>
          <cell r="AD120">
            <v>0</v>
          </cell>
          <cell r="AE120">
            <v>66.186000000000007</v>
          </cell>
        </row>
        <row r="121">
          <cell r="Z121">
            <v>185431.13</v>
          </cell>
          <cell r="AA121">
            <v>185431.13</v>
          </cell>
          <cell r="AD121">
            <v>0</v>
          </cell>
          <cell r="AE121">
            <v>116.672</v>
          </cell>
        </row>
        <row r="122">
          <cell r="Z122">
            <v>226620.86799999996</v>
          </cell>
          <cell r="AA122">
            <v>226564.25</v>
          </cell>
          <cell r="AD122">
            <v>5.5864977425680649E-4</v>
          </cell>
          <cell r="AE122">
            <v>145.72999999999999</v>
          </cell>
        </row>
        <row r="123">
          <cell r="Z123">
            <v>238166.59</v>
          </cell>
          <cell r="AA123">
            <v>236079.1</v>
          </cell>
          <cell r="AD123">
            <v>8.0011597594108197E-3</v>
          </cell>
          <cell r="AE123">
            <v>170.32599999999999</v>
          </cell>
        </row>
        <row r="124">
          <cell r="Z124">
            <v>267634.04399999994</v>
          </cell>
          <cell r="AA124">
            <v>267607.8</v>
          </cell>
          <cell r="AD124">
            <v>1.3427319058821347E-4</v>
          </cell>
          <cell r="AE124">
            <v>164.00600000000003</v>
          </cell>
        </row>
        <row r="125">
          <cell r="Z125">
            <v>289086.03999999998</v>
          </cell>
          <cell r="AA125">
            <v>288896.26</v>
          </cell>
          <cell r="AD125">
            <v>7.9972673827227725E-4</v>
          </cell>
          <cell r="AE125">
            <v>147.35999999999999</v>
          </cell>
        </row>
        <row r="127">
          <cell r="Z127">
            <v>79631.527999999991</v>
          </cell>
          <cell r="AA127">
            <v>79231.92</v>
          </cell>
          <cell r="AD127">
            <v>6.8714716788909709E-3</v>
          </cell>
          <cell r="AE127">
            <v>16.892000000000003</v>
          </cell>
        </row>
        <row r="128">
          <cell r="Z128">
            <v>92074.54</v>
          </cell>
          <cell r="AA128">
            <v>92074.54</v>
          </cell>
          <cell r="AD128">
            <v>0</v>
          </cell>
          <cell r="AE128">
            <v>22.044</v>
          </cell>
        </row>
        <row r="129">
          <cell r="Z129">
            <v>158793.37</v>
          </cell>
          <cell r="AA129">
            <v>158793.37</v>
          </cell>
          <cell r="AD129">
            <v>0</v>
          </cell>
          <cell r="AE129">
            <v>39.317999999999998</v>
          </cell>
        </row>
        <row r="130">
          <cell r="Z130">
            <v>199457.25</v>
          </cell>
          <cell r="AA130">
            <v>197576</v>
          </cell>
          <cell r="AD130">
            <v>2.10902480740684E-2</v>
          </cell>
          <cell r="AE130">
            <v>56.213999999999999</v>
          </cell>
        </row>
        <row r="131">
          <cell r="Z131">
            <v>223578.66399999996</v>
          </cell>
          <cell r="AA131">
            <v>223161.64</v>
          </cell>
          <cell r="AD131">
            <v>1.7027075820096108E-3</v>
          </cell>
          <cell r="AE131">
            <v>75.655999999999992</v>
          </cell>
        </row>
        <row r="132">
          <cell r="Z132">
            <v>223572.07199999999</v>
          </cell>
          <cell r="AA132">
            <v>222384.77</v>
          </cell>
          <cell r="AD132">
            <v>3.3960160775581543E-3</v>
          </cell>
          <cell r="AE132">
            <v>406.584</v>
          </cell>
        </row>
        <row r="133">
          <cell r="Z133">
            <v>267685.39199999999</v>
          </cell>
          <cell r="AA133">
            <v>265051.99</v>
          </cell>
          <cell r="AD133">
            <v>6.3880331846072709E-3</v>
          </cell>
          <cell r="AE133">
            <v>413.52600000000001</v>
          </cell>
        </row>
        <row r="134">
          <cell r="Z134">
            <v>289635.93200000003</v>
          </cell>
          <cell r="AA134">
            <v>284931.73</v>
          </cell>
          <cell r="AD134">
            <v>9.8042856383914519E-3</v>
          </cell>
          <cell r="AE134">
            <v>505.62600000000003</v>
          </cell>
        </row>
        <row r="135">
          <cell r="Z135">
            <v>311851.65799999994</v>
          </cell>
          <cell r="AA135">
            <v>309850.86</v>
          </cell>
          <cell r="AD135">
            <v>4.0467995844086146E-3</v>
          </cell>
          <cell r="AE135">
            <v>494.02600000000001</v>
          </cell>
        </row>
        <row r="136">
          <cell r="Z136">
            <v>338914.63199999998</v>
          </cell>
          <cell r="AA136">
            <v>337734.94</v>
          </cell>
          <cell r="AD136">
            <v>3.505568143350134E-3</v>
          </cell>
          <cell r="AE136">
            <v>481.654</v>
          </cell>
        </row>
        <row r="138">
          <cell r="Z138">
            <v>62281.81</v>
          </cell>
          <cell r="AA138">
            <v>62281.81</v>
          </cell>
          <cell r="AD138">
            <v>0</v>
          </cell>
          <cell r="AE138">
            <v>15.786000000000001</v>
          </cell>
        </row>
        <row r="139">
          <cell r="Z139">
            <v>94057.37</v>
          </cell>
          <cell r="AA139">
            <v>94057.37</v>
          </cell>
          <cell r="AD139">
            <v>0</v>
          </cell>
          <cell r="AE139">
            <v>21.9</v>
          </cell>
        </row>
        <row r="140">
          <cell r="Z140">
            <v>115277.04</v>
          </cell>
          <cell r="AA140">
            <v>115277.04</v>
          </cell>
          <cell r="AD140">
            <v>0</v>
          </cell>
          <cell r="AE140">
            <v>37.368000000000002</v>
          </cell>
        </row>
        <row r="141">
          <cell r="Z141">
            <v>132866.6</v>
          </cell>
          <cell r="AA141">
            <v>132866.6</v>
          </cell>
          <cell r="AD141">
            <v>0</v>
          </cell>
          <cell r="AE141">
            <v>39.118000000000002</v>
          </cell>
        </row>
        <row r="142">
          <cell r="Z142">
            <v>152332.85</v>
          </cell>
          <cell r="AA142">
            <v>152332.85</v>
          </cell>
          <cell r="AD142">
            <v>0</v>
          </cell>
          <cell r="AE142">
            <v>59.037999999999997</v>
          </cell>
        </row>
        <row r="143">
          <cell r="Z143">
            <v>176659.73</v>
          </cell>
          <cell r="AA143">
            <v>176659.73</v>
          </cell>
          <cell r="AD143">
            <v>0</v>
          </cell>
          <cell r="AE143">
            <v>68.444000000000003</v>
          </cell>
        </row>
        <row r="144">
          <cell r="Z144">
            <v>183078.72199999998</v>
          </cell>
          <cell r="AA144">
            <v>183068.34</v>
          </cell>
          <cell r="AD144">
            <v>1.2680259884272288E-4</v>
          </cell>
          <cell r="AE144">
            <v>79.294000000000011</v>
          </cell>
        </row>
        <row r="145">
          <cell r="Z145">
            <v>200122.67</v>
          </cell>
          <cell r="AA145">
            <v>199855.98</v>
          </cell>
          <cell r="AD145">
            <v>2.559364287645857E-3</v>
          </cell>
          <cell r="AE145">
            <v>70.964000000000013</v>
          </cell>
        </row>
        <row r="146">
          <cell r="Z146">
            <v>212088.55</v>
          </cell>
          <cell r="AA146">
            <v>212088.55</v>
          </cell>
          <cell r="AD146">
            <v>0</v>
          </cell>
          <cell r="AE146">
            <v>98.796000000000006</v>
          </cell>
        </row>
        <row r="147">
          <cell r="Z147">
            <v>230776.24</v>
          </cell>
          <cell r="AA147">
            <v>230776.24</v>
          </cell>
          <cell r="AD147">
            <v>0</v>
          </cell>
          <cell r="AE147">
            <v>88.686000000000007</v>
          </cell>
        </row>
        <row r="149">
          <cell r="Z149">
            <v>76692.34</v>
          </cell>
          <cell r="AA149">
            <v>76692.34</v>
          </cell>
          <cell r="AD149">
            <v>0</v>
          </cell>
          <cell r="AE149">
            <v>16.310000000000002</v>
          </cell>
        </row>
        <row r="150">
          <cell r="Z150">
            <v>118457.29</v>
          </cell>
          <cell r="AA150">
            <v>118457.29</v>
          </cell>
          <cell r="AD150">
            <v>0</v>
          </cell>
          <cell r="AE150">
            <v>31.405999999999999</v>
          </cell>
        </row>
        <row r="151">
          <cell r="Z151">
            <v>143463.82</v>
          </cell>
          <cell r="AA151">
            <v>143463.82</v>
          </cell>
          <cell r="AD151">
            <v>0</v>
          </cell>
          <cell r="AE151">
            <v>47.760000000000005</v>
          </cell>
        </row>
        <row r="152">
          <cell r="Z152">
            <v>168205.37</v>
          </cell>
          <cell r="AA152">
            <v>168205.37</v>
          </cell>
          <cell r="AD152">
            <v>0</v>
          </cell>
          <cell r="AE152">
            <v>57.334000000000003</v>
          </cell>
        </row>
        <row r="153">
          <cell r="Z153">
            <v>194437.07599999997</v>
          </cell>
          <cell r="AA153">
            <v>194436.95</v>
          </cell>
          <cell r="AD153">
            <v>1.4490269600332829E-6</v>
          </cell>
          <cell r="AE153">
            <v>99.721999999999994</v>
          </cell>
        </row>
        <row r="154">
          <cell r="Z154">
            <v>221203.33</v>
          </cell>
          <cell r="AA154">
            <v>221203.33</v>
          </cell>
          <cell r="AD154">
            <v>0</v>
          </cell>
          <cell r="AE154">
            <v>98.274000000000001</v>
          </cell>
        </row>
        <row r="155">
          <cell r="Z155">
            <v>229905.55</v>
          </cell>
          <cell r="AA155">
            <v>229905.55</v>
          </cell>
          <cell r="AD155">
            <v>0</v>
          </cell>
          <cell r="AE155">
            <v>123.27799999999999</v>
          </cell>
        </row>
        <row r="156">
          <cell r="Z156">
            <v>253873.17599999998</v>
          </cell>
          <cell r="AA156">
            <v>253822.9</v>
          </cell>
          <cell r="AD156">
            <v>2.8088438066975236E-4</v>
          </cell>
          <cell r="AE156">
            <v>200.702</v>
          </cell>
        </row>
        <row r="157">
          <cell r="Z157">
            <v>266958.07</v>
          </cell>
          <cell r="AA157">
            <v>266958.07</v>
          </cell>
          <cell r="AD157">
            <v>0</v>
          </cell>
          <cell r="AE157">
            <v>157.68</v>
          </cell>
        </row>
        <row r="158">
          <cell r="Z158">
            <v>291944.15000000002</v>
          </cell>
          <cell r="AA158">
            <v>290784.52</v>
          </cell>
          <cell r="AD158">
            <v>5.4391968465999901E-3</v>
          </cell>
          <cell r="AE158">
            <v>164.322</v>
          </cell>
        </row>
        <row r="160">
          <cell r="Z160">
            <v>126685.93</v>
          </cell>
          <cell r="AA160">
            <v>126685.93</v>
          </cell>
          <cell r="AD160">
            <v>0</v>
          </cell>
          <cell r="AE160">
            <v>29.479999999999997</v>
          </cell>
        </row>
        <row r="161">
          <cell r="Z161">
            <v>173965.4</v>
          </cell>
          <cell r="AA161">
            <v>173965.4</v>
          </cell>
          <cell r="AD161">
            <v>0</v>
          </cell>
          <cell r="AE161">
            <v>48.341999999999999</v>
          </cell>
        </row>
        <row r="162">
          <cell r="Z162">
            <v>170462.20399999997</v>
          </cell>
          <cell r="AA162">
            <v>170202.7</v>
          </cell>
          <cell r="AD162">
            <v>8.5102235395399122E-4</v>
          </cell>
          <cell r="AE162">
            <v>90.956000000000003</v>
          </cell>
        </row>
        <row r="163">
          <cell r="Z163">
            <v>196337.91</v>
          </cell>
          <cell r="AA163">
            <v>196337.91</v>
          </cell>
          <cell r="AD163">
            <v>0</v>
          </cell>
          <cell r="AE163">
            <v>108.48999999999998</v>
          </cell>
        </row>
        <row r="164">
          <cell r="Z164">
            <v>241973.17600000004</v>
          </cell>
          <cell r="AA164">
            <v>241398.31</v>
          </cell>
          <cell r="AD164">
            <v>5.3123221143875935E-3</v>
          </cell>
          <cell r="AE164">
            <v>183.88400000000001</v>
          </cell>
        </row>
        <row r="165">
          <cell r="Z165">
            <v>257393.038</v>
          </cell>
          <cell r="AA165">
            <v>257041.99</v>
          </cell>
          <cell r="AD165">
            <v>1.8681741519331371E-3</v>
          </cell>
          <cell r="AE165">
            <v>175.66</v>
          </cell>
        </row>
        <row r="166">
          <cell r="Z166">
            <v>274168.24</v>
          </cell>
          <cell r="AA166">
            <v>273755.05</v>
          </cell>
          <cell r="AD166">
            <v>2.4172087790225926E-3</v>
          </cell>
          <cell r="AE166">
            <v>336.83</v>
          </cell>
        </row>
        <row r="167">
          <cell r="Z167">
            <v>301749.00199999998</v>
          </cell>
          <cell r="AA167">
            <v>300413.2</v>
          </cell>
          <cell r="AD167">
            <v>5.5153263571381906E-3</v>
          </cell>
          <cell r="AE167">
            <v>476.69600000000003</v>
          </cell>
        </row>
        <row r="168">
          <cell r="Z168">
            <v>319197.342</v>
          </cell>
          <cell r="AA168">
            <v>317012.38</v>
          </cell>
          <cell r="AD168">
            <v>5.3057631264175733E-3</v>
          </cell>
          <cell r="AE168">
            <v>457.71800000000002</v>
          </cell>
        </row>
        <row r="169">
          <cell r="Z169">
            <v>346698.99799999996</v>
          </cell>
          <cell r="AA169">
            <v>345417.99</v>
          </cell>
          <cell r="AD169">
            <v>6.0640575072568323E-3</v>
          </cell>
          <cell r="AE169">
            <v>540.27600000000007</v>
          </cell>
        </row>
        <row r="171">
          <cell r="Z171">
            <v>234355.96000000002</v>
          </cell>
          <cell r="AA171">
            <v>234355.96</v>
          </cell>
          <cell r="AD171">
            <v>1.3884465175727834E-16</v>
          </cell>
          <cell r="AE171">
            <v>99.835999999999999</v>
          </cell>
        </row>
        <row r="172">
          <cell r="Z172">
            <v>295177.26599999995</v>
          </cell>
          <cell r="AA172">
            <v>295147.93</v>
          </cell>
          <cell r="AD172">
            <v>5.5557539268543032E-5</v>
          </cell>
          <cell r="AE172">
            <v>161.92599999999999</v>
          </cell>
        </row>
        <row r="173">
          <cell r="Z173">
            <v>351230.11799999996</v>
          </cell>
          <cell r="AA173">
            <v>349313.13</v>
          </cell>
          <cell r="AD173">
            <v>5.8053787827903637E-3</v>
          </cell>
          <cell r="AE173">
            <v>573.36399999999992</v>
          </cell>
        </row>
        <row r="177">
          <cell r="Z177">
            <v>55302.65</v>
          </cell>
          <cell r="AA177">
            <v>55302.65</v>
          </cell>
          <cell r="AD177">
            <v>0</v>
          </cell>
          <cell r="AE177">
            <v>17.516000000000002</v>
          </cell>
        </row>
        <row r="178">
          <cell r="Z178">
            <v>85432.51</v>
          </cell>
          <cell r="AA178">
            <v>85432.51</v>
          </cell>
          <cell r="AD178">
            <v>0</v>
          </cell>
          <cell r="AE178">
            <v>23.722000000000001</v>
          </cell>
        </row>
        <row r="179">
          <cell r="Z179">
            <v>120339.08</v>
          </cell>
          <cell r="AA179">
            <v>120339.08</v>
          </cell>
          <cell r="AD179">
            <v>0</v>
          </cell>
          <cell r="AE179">
            <v>35.75</v>
          </cell>
        </row>
        <row r="180">
          <cell r="Z180">
            <v>133149.32</v>
          </cell>
          <cell r="AA180">
            <v>133149.32</v>
          </cell>
          <cell r="AD180">
            <v>0</v>
          </cell>
          <cell r="AE180">
            <v>35.426000000000002</v>
          </cell>
        </row>
        <row r="181">
          <cell r="Z181">
            <v>162624.14000000001</v>
          </cell>
          <cell r="AA181">
            <v>162624.14000000001</v>
          </cell>
          <cell r="AD181">
            <v>0</v>
          </cell>
          <cell r="AE181">
            <v>52.374000000000002</v>
          </cell>
        </row>
        <row r="182">
          <cell r="Z182">
            <v>172181.53</v>
          </cell>
          <cell r="AA182">
            <v>172181.53</v>
          </cell>
          <cell r="AD182">
            <v>0</v>
          </cell>
          <cell r="AE182">
            <v>56.503999999999998</v>
          </cell>
        </row>
        <row r="183">
          <cell r="Z183">
            <v>209957.74</v>
          </cell>
          <cell r="AA183">
            <v>209957.74</v>
          </cell>
          <cell r="AD183">
            <v>0</v>
          </cell>
          <cell r="AE183">
            <v>70.807999999999993</v>
          </cell>
        </row>
        <row r="184">
          <cell r="Z184">
            <v>244372.75200000001</v>
          </cell>
          <cell r="AA184">
            <v>244251.13</v>
          </cell>
          <cell r="AD184">
            <v>3.5376073674266839E-4</v>
          </cell>
          <cell r="AE184">
            <v>81.421999999999997</v>
          </cell>
        </row>
        <row r="185">
          <cell r="Z185">
            <v>260256.95600000001</v>
          </cell>
          <cell r="AA185">
            <v>260239.13</v>
          </cell>
          <cell r="AD185">
            <v>1.5315689685893862E-4</v>
          </cell>
          <cell r="AE185">
            <v>116.92999999999999</v>
          </cell>
        </row>
        <row r="186">
          <cell r="Z186">
            <v>282543.19400000002</v>
          </cell>
          <cell r="AA186">
            <v>282476.52</v>
          </cell>
          <cell r="AD186">
            <v>3.3615655591083657E-4</v>
          </cell>
          <cell r="AE186">
            <v>144.916</v>
          </cell>
        </row>
        <row r="188">
          <cell r="Z188">
            <v>67976.17</v>
          </cell>
          <cell r="AA188">
            <v>67976.17</v>
          </cell>
          <cell r="AD188">
            <v>0</v>
          </cell>
          <cell r="AE188">
            <v>17.591999999999999</v>
          </cell>
        </row>
        <row r="189">
          <cell r="Z189">
            <v>105663.87</v>
          </cell>
          <cell r="AA189">
            <v>105663.87</v>
          </cell>
          <cell r="AD189">
            <v>0</v>
          </cell>
          <cell r="AE189">
            <v>26.215999999999998</v>
          </cell>
        </row>
        <row r="190">
          <cell r="Z190">
            <v>152395.73000000001</v>
          </cell>
          <cell r="AA190">
            <v>152395.73000000001</v>
          </cell>
          <cell r="AD190">
            <v>0</v>
          </cell>
          <cell r="AE190">
            <v>43.510000000000005</v>
          </cell>
        </row>
        <row r="191">
          <cell r="Z191">
            <v>177965.58800000005</v>
          </cell>
          <cell r="AA191">
            <v>177061.32</v>
          </cell>
          <cell r="AD191">
            <v>6.9576369678569236E-3</v>
          </cell>
          <cell r="AE191">
            <v>86.575999999999993</v>
          </cell>
        </row>
        <row r="192">
          <cell r="Z192">
            <v>210478.84</v>
          </cell>
          <cell r="AA192">
            <v>210478.84</v>
          </cell>
          <cell r="AD192">
            <v>0</v>
          </cell>
          <cell r="AE192">
            <v>220.81799999999998</v>
          </cell>
        </row>
        <row r="193">
          <cell r="Z193">
            <v>228714.67</v>
          </cell>
          <cell r="AA193">
            <v>228714.67</v>
          </cell>
          <cell r="AD193">
            <v>0</v>
          </cell>
          <cell r="AE193">
            <v>210.13800000000001</v>
          </cell>
        </row>
        <row r="194">
          <cell r="Z194">
            <v>276592.96599999996</v>
          </cell>
          <cell r="AA194">
            <v>276569.74</v>
          </cell>
          <cell r="AD194">
            <v>7.6655384652972198E-5</v>
          </cell>
          <cell r="AE194">
            <v>356.77799999999996</v>
          </cell>
        </row>
        <row r="195">
          <cell r="Z195">
            <v>326993.93200000003</v>
          </cell>
          <cell r="AA195">
            <v>324738.32</v>
          </cell>
          <cell r="AD195">
            <v>4.6023613259229632E-3</v>
          </cell>
          <cell r="AE195">
            <v>268.27600000000001</v>
          </cell>
        </row>
        <row r="196">
          <cell r="Z196">
            <v>344233.092</v>
          </cell>
          <cell r="AA196">
            <v>342589.5</v>
          </cell>
          <cell r="AD196">
            <v>3.4258884561316908E-3</v>
          </cell>
          <cell r="AE196">
            <v>424.00599999999997</v>
          </cell>
        </row>
        <row r="197">
          <cell r="Z197">
            <v>367550.43799999997</v>
          </cell>
          <cell r="AA197">
            <v>367168.2</v>
          </cell>
          <cell r="AD197">
            <v>1.424869237633629E-3</v>
          </cell>
          <cell r="AE197">
            <v>337.51599999999996</v>
          </cell>
        </row>
        <row r="199">
          <cell r="Z199">
            <v>75890.5</v>
          </cell>
          <cell r="AA199">
            <v>75890.5</v>
          </cell>
          <cell r="AD199">
            <v>0</v>
          </cell>
          <cell r="AE199">
            <v>18.091999999999999</v>
          </cell>
        </row>
        <row r="200">
          <cell r="Z200">
            <v>134477.75400000002</v>
          </cell>
          <cell r="AA200">
            <v>134394.45000000001</v>
          </cell>
          <cell r="AD200">
            <v>5.6548981241920013E-4</v>
          </cell>
          <cell r="AE200">
            <v>45.158000000000001</v>
          </cell>
        </row>
        <row r="201">
          <cell r="Z201">
            <v>197146.29199999999</v>
          </cell>
          <cell r="AA201">
            <v>196964.43</v>
          </cell>
          <cell r="AD201">
            <v>1.7080753248658828E-3</v>
          </cell>
          <cell r="AE201">
            <v>99.23</v>
          </cell>
        </row>
        <row r="202">
          <cell r="Z202">
            <v>242804.26</v>
          </cell>
          <cell r="AA202">
            <v>242804.26</v>
          </cell>
          <cell r="AD202">
            <v>0</v>
          </cell>
          <cell r="AE202">
            <v>143.59599999999998</v>
          </cell>
        </row>
        <row r="203">
          <cell r="Z203">
            <v>277009.67000000004</v>
          </cell>
          <cell r="AA203">
            <v>276946.07</v>
          </cell>
          <cell r="AD203">
            <v>3.1438572755716938E-4</v>
          </cell>
          <cell r="AE203">
            <v>395.25199999999995</v>
          </cell>
        </row>
        <row r="204">
          <cell r="Z204">
            <v>326045.68</v>
          </cell>
          <cell r="AA204">
            <v>325582.40999999997</v>
          </cell>
          <cell r="AD204">
            <v>2.9122104531512589E-3</v>
          </cell>
          <cell r="AE204">
            <v>557.45799999999997</v>
          </cell>
        </row>
        <row r="205">
          <cell r="Z205">
            <v>384240.04800000001</v>
          </cell>
          <cell r="AA205">
            <v>381644.72</v>
          </cell>
          <cell r="AD205">
            <v>7.0845759801858544E-3</v>
          </cell>
          <cell r="AE205">
            <v>920.17000000000007</v>
          </cell>
        </row>
        <row r="206">
          <cell r="Z206">
            <v>412026.08600000001</v>
          </cell>
          <cell r="AA206">
            <v>411718.11</v>
          </cell>
          <cell r="AD206">
            <v>4.7130816245388886E-4</v>
          </cell>
          <cell r="AE206">
            <v>1421.44</v>
          </cell>
        </row>
        <row r="207">
          <cell r="Z207">
            <v>442039.52400000003</v>
          </cell>
          <cell r="AA207">
            <v>441119.23</v>
          </cell>
          <cell r="AD207">
            <v>1.9449825387001991E-3</v>
          </cell>
          <cell r="AE207">
            <v>1721.2819999999999</v>
          </cell>
        </row>
        <row r="208">
          <cell r="Z208">
            <v>467977.79599999997</v>
          </cell>
          <cell r="AA208">
            <v>465453.46</v>
          </cell>
          <cell r="AD208">
            <v>4.322814651956098E-3</v>
          </cell>
          <cell r="AE208">
            <v>1603.992</v>
          </cell>
        </row>
        <row r="210">
          <cell r="Z210">
            <v>49863.49</v>
          </cell>
          <cell r="AA210">
            <v>49863.49</v>
          </cell>
          <cell r="AD210">
            <v>0</v>
          </cell>
          <cell r="AE210">
            <v>14.602</v>
          </cell>
        </row>
        <row r="211">
          <cell r="Z211">
            <v>90444.76</v>
          </cell>
          <cell r="AA211">
            <v>90444.76</v>
          </cell>
          <cell r="AD211">
            <v>0</v>
          </cell>
          <cell r="AE211">
            <v>20.996000000000002</v>
          </cell>
        </row>
        <row r="212">
          <cell r="Z212">
            <v>114451.81000000001</v>
          </cell>
          <cell r="AA212">
            <v>114451.81</v>
          </cell>
          <cell r="AD212">
            <v>1.4215184387840897E-16</v>
          </cell>
          <cell r="AE212">
            <v>27.333999999999996</v>
          </cell>
        </row>
        <row r="213">
          <cell r="Z213">
            <v>142520.56</v>
          </cell>
          <cell r="AA213">
            <v>142520.56</v>
          </cell>
          <cell r="AD213">
            <v>0</v>
          </cell>
          <cell r="AE213">
            <v>35.858000000000004</v>
          </cell>
        </row>
        <row r="214">
          <cell r="Z214">
            <v>167112.34</v>
          </cell>
          <cell r="AA214">
            <v>167112.34</v>
          </cell>
          <cell r="AD214">
            <v>0</v>
          </cell>
          <cell r="AE214">
            <v>52.568000000000005</v>
          </cell>
        </row>
        <row r="215">
          <cell r="Z215">
            <v>181844.71</v>
          </cell>
          <cell r="AA215">
            <v>181844.71</v>
          </cell>
          <cell r="AD215">
            <v>0</v>
          </cell>
          <cell r="AE215">
            <v>60.576000000000001</v>
          </cell>
        </row>
        <row r="216">
          <cell r="Z216">
            <v>213881.83</v>
          </cell>
          <cell r="AA216">
            <v>213881.83</v>
          </cell>
          <cell r="AD216">
            <v>0</v>
          </cell>
          <cell r="AE216">
            <v>87.224000000000018</v>
          </cell>
        </row>
        <row r="217">
          <cell r="Z217">
            <v>239407.72800000003</v>
          </cell>
          <cell r="AA217">
            <v>239161.19</v>
          </cell>
          <cell r="AD217">
            <v>1.7397762267352473E-3</v>
          </cell>
          <cell r="AE217">
            <v>81.77</v>
          </cell>
        </row>
        <row r="218">
          <cell r="Z218">
            <v>259323.86800000002</v>
          </cell>
          <cell r="AA218">
            <v>259067.51</v>
          </cell>
          <cell r="AD218">
            <v>2.1870088987099119E-3</v>
          </cell>
          <cell r="AE218">
            <v>116.44800000000001</v>
          </cell>
        </row>
        <row r="219">
          <cell r="Z219">
            <v>287455.06800000003</v>
          </cell>
          <cell r="AA219">
            <v>287379.5</v>
          </cell>
          <cell r="AD219">
            <v>1.4695791076097987E-4</v>
          </cell>
          <cell r="AE219">
            <v>104.81599999999999</v>
          </cell>
        </row>
        <row r="221">
          <cell r="Z221">
            <v>64370.67</v>
          </cell>
          <cell r="AA221">
            <v>64370.67</v>
          </cell>
          <cell r="AD221">
            <v>0</v>
          </cell>
          <cell r="AE221">
            <v>23.256</v>
          </cell>
        </row>
        <row r="222">
          <cell r="Z222">
            <v>118922.13999999998</v>
          </cell>
          <cell r="AA222">
            <v>118922.14</v>
          </cell>
          <cell r="AD222">
            <v>1.3680830017624416E-16</v>
          </cell>
          <cell r="AE222">
            <v>47.410000000000004</v>
          </cell>
        </row>
        <row r="223">
          <cell r="Z223">
            <v>174378.77</v>
          </cell>
          <cell r="AA223">
            <v>174258.71</v>
          </cell>
          <cell r="AD223">
            <v>9.4276915495603291E-4</v>
          </cell>
          <cell r="AE223">
            <v>87.805999999999997</v>
          </cell>
        </row>
        <row r="224">
          <cell r="Z224">
            <v>192615.08199999999</v>
          </cell>
          <cell r="AA224">
            <v>191610.21</v>
          </cell>
          <cell r="AD224">
            <v>7.2255675403740593E-3</v>
          </cell>
          <cell r="AE224">
            <v>124.1</v>
          </cell>
        </row>
        <row r="225">
          <cell r="Z225">
            <v>223261.62999999998</v>
          </cell>
          <cell r="AA225">
            <v>223261.63</v>
          </cell>
          <cell r="AD225">
            <v>1.4574412832801885E-16</v>
          </cell>
          <cell r="AE225">
            <v>211.054</v>
          </cell>
        </row>
        <row r="226">
          <cell r="Z226">
            <v>246150.20199999999</v>
          </cell>
          <cell r="AA226">
            <v>245617.84</v>
          </cell>
          <cell r="AD226">
            <v>2.5876858002068476E-3</v>
          </cell>
          <cell r="AE226">
            <v>382.952</v>
          </cell>
        </row>
        <row r="227">
          <cell r="Z227">
            <v>278489.48200000002</v>
          </cell>
          <cell r="AA227">
            <v>278152.3</v>
          </cell>
          <cell r="AD227">
            <v>1.1052612954380618E-3</v>
          </cell>
          <cell r="AE227">
            <v>262.53399999999999</v>
          </cell>
        </row>
        <row r="228">
          <cell r="Z228">
            <v>320406.22400000005</v>
          </cell>
          <cell r="AA228">
            <v>318618.02</v>
          </cell>
          <cell r="AD228">
            <v>4.0166576646195884E-3</v>
          </cell>
          <cell r="AE228">
            <v>438.71399999999994</v>
          </cell>
        </row>
        <row r="229">
          <cell r="Z229">
            <v>340931.13799999998</v>
          </cell>
          <cell r="AA229">
            <v>340907.18</v>
          </cell>
          <cell r="AD229">
            <v>6.4149499073262872E-5</v>
          </cell>
          <cell r="AE229">
            <v>403.988</v>
          </cell>
        </row>
        <row r="230">
          <cell r="Z230">
            <v>380616.21799999999</v>
          </cell>
          <cell r="AA230">
            <v>379747.3</v>
          </cell>
          <cell r="AD230">
            <v>1.7820383651608416E-3</v>
          </cell>
          <cell r="AE230">
            <v>409.654</v>
          </cell>
        </row>
        <row r="232">
          <cell r="Z232" t="str">
            <v>Infeasible</v>
          </cell>
          <cell r="AA232" t="str">
            <v>-</v>
          </cell>
          <cell r="AD232" t="str">
            <v>-</v>
          </cell>
          <cell r="AE232">
            <v>18.167999999999999</v>
          </cell>
        </row>
        <row r="233">
          <cell r="Z233" t="str">
            <v>Infeasible</v>
          </cell>
          <cell r="AA233" t="str">
            <v>-</v>
          </cell>
          <cell r="AD233" t="str">
            <v>-</v>
          </cell>
          <cell r="AE233">
            <v>46.116000000000007</v>
          </cell>
        </row>
        <row r="234">
          <cell r="Z234" t="str">
            <v>Infeasible</v>
          </cell>
          <cell r="AA234" t="str">
            <v>-</v>
          </cell>
          <cell r="AD234" t="str">
            <v>-</v>
          </cell>
          <cell r="AE234">
            <v>74.664000000000001</v>
          </cell>
        </row>
        <row r="235">
          <cell r="Z235">
            <v>264117.16200000001</v>
          </cell>
          <cell r="AA235">
            <v>264053.07</v>
          </cell>
          <cell r="AD235">
            <v>4.2522720773470349E-4</v>
          </cell>
          <cell r="AE235">
            <v>299.238</v>
          </cell>
        </row>
        <row r="236">
          <cell r="Z236">
            <v>319006.04599999997</v>
          </cell>
          <cell r="AA236">
            <v>317030.61</v>
          </cell>
          <cell r="AD236">
            <v>1.384678828689119E-2</v>
          </cell>
          <cell r="AE236">
            <v>405.88800000000003</v>
          </cell>
        </row>
        <row r="237">
          <cell r="Z237">
            <v>351394.19199999998</v>
          </cell>
          <cell r="AA237">
            <v>351357.52</v>
          </cell>
          <cell r="AD237">
            <v>9.5268514610831145E-5</v>
          </cell>
          <cell r="AE237">
            <v>614.73800000000006</v>
          </cell>
        </row>
        <row r="238">
          <cell r="Z238">
            <v>356295.38999999996</v>
          </cell>
          <cell r="AA238">
            <v>355746.86</v>
          </cell>
          <cell r="AD238">
            <v>2.3040486845400279E-3</v>
          </cell>
          <cell r="AE238">
            <v>1164.2059999999999</v>
          </cell>
        </row>
        <row r="239">
          <cell r="Z239">
            <v>403702.64</v>
          </cell>
          <cell r="AA239">
            <v>403200.92</v>
          </cell>
          <cell r="AD239">
            <v>1.2243613813698771E-3</v>
          </cell>
          <cell r="AE239">
            <v>1438.4059999999999</v>
          </cell>
        </row>
        <row r="240">
          <cell r="Z240">
            <v>443160.39</v>
          </cell>
          <cell r="AA240">
            <v>443160.39</v>
          </cell>
          <cell r="AD240">
            <v>0</v>
          </cell>
          <cell r="AE240">
            <v>1905.7460000000003</v>
          </cell>
        </row>
        <row r="241">
          <cell r="Z241">
            <v>498840.12400000001</v>
          </cell>
          <cell r="AA241">
            <v>497655.49</v>
          </cell>
          <cell r="AD241">
            <v>1.492062888352641E-3</v>
          </cell>
          <cell r="AE241">
            <v>2426.9679999999998</v>
          </cell>
        </row>
        <row r="243">
          <cell r="Z243">
            <v>48507.24</v>
          </cell>
          <cell r="AA243">
            <v>48507.24</v>
          </cell>
          <cell r="AD243">
            <v>0</v>
          </cell>
          <cell r="AE243">
            <v>14.874000000000001</v>
          </cell>
        </row>
        <row r="244">
          <cell r="Z244">
            <v>77262.31</v>
          </cell>
          <cell r="AA244">
            <v>77262.31</v>
          </cell>
          <cell r="AD244">
            <v>0</v>
          </cell>
          <cell r="AE244">
            <v>19.752000000000002</v>
          </cell>
        </row>
        <row r="245">
          <cell r="Z245">
            <v>113592.25</v>
          </cell>
          <cell r="AA245">
            <v>113592.25</v>
          </cell>
          <cell r="AD245">
            <v>0</v>
          </cell>
          <cell r="AE245">
            <v>28.001999999999999</v>
          </cell>
        </row>
        <row r="246">
          <cell r="Z246">
            <v>134578.49</v>
          </cell>
          <cell r="AA246">
            <v>134578.49</v>
          </cell>
          <cell r="AD246">
            <v>0</v>
          </cell>
          <cell r="AE246">
            <v>40.931999999999995</v>
          </cell>
        </row>
        <row r="247">
          <cell r="Z247">
            <v>156511.37</v>
          </cell>
          <cell r="AA247">
            <v>156511.37</v>
          </cell>
          <cell r="AD247">
            <v>0</v>
          </cell>
          <cell r="AE247">
            <v>52.415999999999997</v>
          </cell>
        </row>
        <row r="248">
          <cell r="Z248">
            <v>166271.46</v>
          </cell>
          <cell r="AA248">
            <v>166271.46</v>
          </cell>
          <cell r="AD248">
            <v>0</v>
          </cell>
          <cell r="AE248">
            <v>66.866</v>
          </cell>
        </row>
        <row r="249">
          <cell r="Z249">
            <v>202984.37</v>
          </cell>
          <cell r="AA249">
            <v>202984.37</v>
          </cell>
          <cell r="AD249">
            <v>0</v>
          </cell>
          <cell r="AE249">
            <v>74.570000000000007</v>
          </cell>
        </row>
        <row r="250">
          <cell r="Z250">
            <v>216666.26</v>
          </cell>
          <cell r="AA250">
            <v>216666.26</v>
          </cell>
          <cell r="AD250">
            <v>0</v>
          </cell>
          <cell r="AE250">
            <v>88.622</v>
          </cell>
        </row>
        <row r="251">
          <cell r="Z251">
            <v>254603.45</v>
          </cell>
          <cell r="AA251">
            <v>254603.45</v>
          </cell>
          <cell r="AD251">
            <v>0</v>
          </cell>
          <cell r="AE251">
            <v>108.194</v>
          </cell>
        </row>
        <row r="252">
          <cell r="Z252">
            <v>290018.35399999999</v>
          </cell>
          <cell r="AA252">
            <v>289968.14</v>
          </cell>
          <cell r="AD252">
            <v>3.8715452271747457E-4</v>
          </cell>
          <cell r="AE252">
            <v>115.03800000000001</v>
          </cell>
        </row>
        <row r="254">
          <cell r="Z254">
            <v>61871.410000000011</v>
          </cell>
          <cell r="AA254">
            <v>61871.41</v>
          </cell>
          <cell r="AD254">
            <v>1.3147862499594988E-16</v>
          </cell>
          <cell r="AE254">
            <v>14.784000000000001</v>
          </cell>
        </row>
        <row r="255">
          <cell r="Z255">
            <v>111582.13599999998</v>
          </cell>
          <cell r="AA255">
            <v>111544.75</v>
          </cell>
          <cell r="AD255">
            <v>7.4920269860046451E-4</v>
          </cell>
          <cell r="AE255">
            <v>23.836000000000002</v>
          </cell>
        </row>
        <row r="256">
          <cell r="Z256">
            <v>165270.09</v>
          </cell>
          <cell r="AA256">
            <v>165270.09</v>
          </cell>
          <cell r="AD256">
            <v>0</v>
          </cell>
          <cell r="AE256">
            <v>31.703999999999997</v>
          </cell>
        </row>
        <row r="257">
          <cell r="Z257">
            <v>177115.8</v>
          </cell>
          <cell r="AA257">
            <v>177115.8</v>
          </cell>
          <cell r="AD257">
            <v>0</v>
          </cell>
          <cell r="AE257">
            <v>120.18200000000002</v>
          </cell>
        </row>
        <row r="258">
          <cell r="Z258">
            <v>205002.47800000003</v>
          </cell>
          <cell r="AA258">
            <v>204008.64</v>
          </cell>
          <cell r="AD258">
            <v>6.2180629394612118E-3</v>
          </cell>
          <cell r="AE258">
            <v>202.31199999999998</v>
          </cell>
        </row>
        <row r="259">
          <cell r="Z259">
            <v>224523.31600000002</v>
          </cell>
          <cell r="AA259">
            <v>224507.41</v>
          </cell>
          <cell r="AD259">
            <v>1.5841070710941721E-4</v>
          </cell>
          <cell r="AE259">
            <v>312.32000000000005</v>
          </cell>
        </row>
        <row r="260">
          <cell r="Z260">
            <v>263065.65399999998</v>
          </cell>
          <cell r="AA260">
            <v>261375.87</v>
          </cell>
          <cell r="AD260">
            <v>6.1316278745996659E-3</v>
          </cell>
          <cell r="AE260">
            <v>238.85599999999999</v>
          </cell>
        </row>
        <row r="261">
          <cell r="Z261">
            <v>282119.53600000002</v>
          </cell>
          <cell r="AA261">
            <v>282041.36</v>
          </cell>
          <cell r="AD261">
            <v>1.5490494976664582E-4</v>
          </cell>
          <cell r="AE261">
            <v>352.78200000000004</v>
          </cell>
        </row>
        <row r="262">
          <cell r="Z262">
            <v>336673.91799999995</v>
          </cell>
          <cell r="AA262">
            <v>336529.41</v>
          </cell>
          <cell r="AD262">
            <v>5.8773702912710206E-4</v>
          </cell>
          <cell r="AE262">
            <v>438.28600000000006</v>
          </cell>
        </row>
        <row r="263">
          <cell r="Z263">
            <v>376459.02599999995</v>
          </cell>
          <cell r="AA263">
            <v>376375.03999999998</v>
          </cell>
          <cell r="AD263">
            <v>4.9885483462493532E-4</v>
          </cell>
          <cell r="AE263">
            <v>320.12599999999998</v>
          </cell>
        </row>
        <row r="265">
          <cell r="Z265" t="str">
            <v>Infeasible</v>
          </cell>
          <cell r="AA265" t="str">
            <v>-</v>
          </cell>
          <cell r="AD265" t="str">
            <v>-</v>
          </cell>
          <cell r="AE265">
            <v>15.847999999999999</v>
          </cell>
        </row>
        <row r="266">
          <cell r="Z266">
            <v>137015.34</v>
          </cell>
          <cell r="AA266">
            <v>137015.34</v>
          </cell>
          <cell r="AD266">
            <v>0</v>
          </cell>
          <cell r="AE266">
            <v>22.678000000000001</v>
          </cell>
        </row>
        <row r="267">
          <cell r="Z267" t="str">
            <v>Infeasible</v>
          </cell>
          <cell r="AA267" t="str">
            <v>-</v>
          </cell>
          <cell r="AD267" t="str">
            <v>-</v>
          </cell>
          <cell r="AE267">
            <v>38.690000000000005</v>
          </cell>
        </row>
        <row r="268">
          <cell r="Z268">
            <v>265387.15199999994</v>
          </cell>
          <cell r="AA268">
            <v>263392.45</v>
          </cell>
          <cell r="AD268">
            <v>1.1455266241241669E-2</v>
          </cell>
          <cell r="AE268">
            <v>212.47599999999997</v>
          </cell>
        </row>
        <row r="269">
          <cell r="Z269">
            <v>290948.73199999996</v>
          </cell>
          <cell r="AA269">
            <v>286788.06</v>
          </cell>
          <cell r="AD269">
            <v>1.6603659270102433E-2</v>
          </cell>
          <cell r="AE269">
            <v>618.6</v>
          </cell>
        </row>
        <row r="270">
          <cell r="Z270">
            <v>330917.83799999999</v>
          </cell>
          <cell r="AA270">
            <v>323701.78999999998</v>
          </cell>
          <cell r="AD270">
            <v>1.3745307188856498E-2</v>
          </cell>
          <cell r="AE270">
            <v>1100.954</v>
          </cell>
        </row>
        <row r="271">
          <cell r="Z271">
            <v>322077.10600000003</v>
          </cell>
          <cell r="AA271">
            <v>321892.21000000002</v>
          </cell>
          <cell r="AD271">
            <v>7.8608280521864492E-4</v>
          </cell>
          <cell r="AE271">
            <v>1417.664</v>
          </cell>
        </row>
        <row r="272">
          <cell r="Z272">
            <v>378779.21199999994</v>
          </cell>
          <cell r="AA272">
            <v>367469.57</v>
          </cell>
          <cell r="AD272">
            <v>2.4076347155807989E-2</v>
          </cell>
          <cell r="AE272">
            <v>1235.338</v>
          </cell>
        </row>
        <row r="273">
          <cell r="Z273">
            <v>457681.69199999998</v>
          </cell>
          <cell r="AA273">
            <v>454475.1</v>
          </cell>
          <cell r="AD273">
            <v>8.4957848590259399E-3</v>
          </cell>
          <cell r="AE273">
            <v>1401.23</v>
          </cell>
        </row>
        <row r="274">
          <cell r="Z274">
            <v>490450.46400000004</v>
          </cell>
          <cell r="AA274">
            <v>488964.65</v>
          </cell>
          <cell r="AD274">
            <v>1.8363218983700198E-3</v>
          </cell>
          <cell r="AE274">
            <v>1155.1420000000001</v>
          </cell>
        </row>
        <row r="276">
          <cell r="Z276">
            <v>68270.77</v>
          </cell>
          <cell r="AA276">
            <v>68270.77</v>
          </cell>
          <cell r="AD276">
            <v>0</v>
          </cell>
          <cell r="AE276">
            <v>15.038</v>
          </cell>
        </row>
        <row r="277">
          <cell r="Z277">
            <v>84664.8</v>
          </cell>
          <cell r="AA277">
            <v>84664.8</v>
          </cell>
          <cell r="AD277">
            <v>0</v>
          </cell>
          <cell r="AE277">
            <v>21.672000000000004</v>
          </cell>
        </row>
        <row r="278">
          <cell r="Z278">
            <v>134054.82999999999</v>
          </cell>
          <cell r="AA278">
            <v>134054.82999999999</v>
          </cell>
          <cell r="AD278">
            <v>0</v>
          </cell>
          <cell r="AE278">
            <v>28.086000000000002</v>
          </cell>
        </row>
        <row r="279">
          <cell r="Z279">
            <v>163137.12</v>
          </cell>
          <cell r="AA279">
            <v>163137.12</v>
          </cell>
          <cell r="AD279">
            <v>0</v>
          </cell>
          <cell r="AE279">
            <v>36.118000000000009</v>
          </cell>
        </row>
        <row r="280">
          <cell r="Z280">
            <v>177075.29</v>
          </cell>
          <cell r="AA280">
            <v>177075.29</v>
          </cell>
          <cell r="AD280">
            <v>0</v>
          </cell>
          <cell r="AE280">
            <v>45.152000000000001</v>
          </cell>
        </row>
        <row r="281">
          <cell r="Z281">
            <v>185746.72</v>
          </cell>
          <cell r="AA281">
            <v>185746.72</v>
          </cell>
          <cell r="AD281">
            <v>0</v>
          </cell>
          <cell r="AE281">
            <v>63.866000000000007</v>
          </cell>
        </row>
        <row r="282">
          <cell r="Z282">
            <v>223866.96000000002</v>
          </cell>
          <cell r="AA282">
            <v>223866.96</v>
          </cell>
          <cell r="AD282">
            <v>1.4535004028036408E-16</v>
          </cell>
          <cell r="AE282">
            <v>75.424000000000007</v>
          </cell>
        </row>
        <row r="283">
          <cell r="Z283">
            <v>235013.7</v>
          </cell>
          <cell r="AA283">
            <v>234327.55</v>
          </cell>
          <cell r="AD283">
            <v>6.5284621397028375E-3</v>
          </cell>
          <cell r="AE283">
            <v>90.28</v>
          </cell>
        </row>
        <row r="284">
          <cell r="Z284">
            <v>266831.71999999997</v>
          </cell>
          <cell r="AA284">
            <v>266831.71999999997</v>
          </cell>
          <cell r="AD284">
            <v>0</v>
          </cell>
          <cell r="AE284">
            <v>95.3</v>
          </cell>
        </row>
        <row r="285">
          <cell r="Z285">
            <v>290137.15000000002</v>
          </cell>
          <cell r="AA285">
            <v>290137.15000000002</v>
          </cell>
          <cell r="AD285">
            <v>0</v>
          </cell>
          <cell r="AE285">
            <v>106.28399999999999</v>
          </cell>
        </row>
        <row r="287">
          <cell r="Z287">
            <v>87769.85</v>
          </cell>
          <cell r="AA287">
            <v>87769.85</v>
          </cell>
          <cell r="AD287">
            <v>0</v>
          </cell>
          <cell r="AE287">
            <v>17.440000000000001</v>
          </cell>
        </row>
        <row r="288">
          <cell r="Z288">
            <v>104067.18</v>
          </cell>
          <cell r="AA288">
            <v>104067.18</v>
          </cell>
          <cell r="AD288">
            <v>0</v>
          </cell>
          <cell r="AE288">
            <v>21.706</v>
          </cell>
        </row>
        <row r="289">
          <cell r="Z289">
            <v>179305.03</v>
          </cell>
          <cell r="AA289">
            <v>179305.03</v>
          </cell>
          <cell r="AD289">
            <v>0</v>
          </cell>
          <cell r="AE289">
            <v>34.700000000000003</v>
          </cell>
        </row>
        <row r="290">
          <cell r="Z290">
            <v>222183.758</v>
          </cell>
          <cell r="AA290">
            <v>222057.89</v>
          </cell>
          <cell r="AD290">
            <v>1.2667415778967156E-3</v>
          </cell>
          <cell r="AE290">
            <v>44.772000000000006</v>
          </cell>
        </row>
        <row r="291">
          <cell r="Z291">
            <v>246711.32</v>
          </cell>
          <cell r="AA291">
            <v>246711.32</v>
          </cell>
          <cell r="AD291">
            <v>0</v>
          </cell>
          <cell r="AE291">
            <v>58.677999999999997</v>
          </cell>
        </row>
        <row r="292">
          <cell r="Z292">
            <v>247265.63999999998</v>
          </cell>
          <cell r="AA292">
            <v>244476.28</v>
          </cell>
          <cell r="AD292">
            <v>7.590329706457402E-3</v>
          </cell>
          <cell r="AE292">
            <v>217.34200000000001</v>
          </cell>
        </row>
        <row r="293">
          <cell r="Z293">
            <v>296347.17000000004</v>
          </cell>
          <cell r="AA293">
            <v>296097.5</v>
          </cell>
          <cell r="AD293">
            <v>1.8838684774427307E-3</v>
          </cell>
          <cell r="AE293">
            <v>295.35399999999993</v>
          </cell>
        </row>
        <row r="294">
          <cell r="Z294">
            <v>322402.94799999997</v>
          </cell>
          <cell r="AA294">
            <v>318065.65999999997</v>
          </cell>
          <cell r="AD294">
            <v>9.183290229212486E-3</v>
          </cell>
          <cell r="AE294">
            <v>312.952</v>
          </cell>
        </row>
        <row r="295">
          <cell r="Z295">
            <v>349667.04400000005</v>
          </cell>
          <cell r="AA295">
            <v>348366.71</v>
          </cell>
          <cell r="AD295">
            <v>7.0491294331813201E-3</v>
          </cell>
          <cell r="AE295">
            <v>252.93399999999997</v>
          </cell>
        </row>
        <row r="296">
          <cell r="Z296">
            <v>377616.8459999999</v>
          </cell>
          <cell r="AA296">
            <v>377532.86</v>
          </cell>
          <cell r="AD296">
            <v>4.9732528394216369E-4</v>
          </cell>
          <cell r="AE296">
            <v>265.892</v>
          </cell>
        </row>
        <row r="298">
          <cell r="Z298">
            <v>141415.00599999999</v>
          </cell>
          <cell r="AA298">
            <v>140941.12</v>
          </cell>
          <cell r="AD298">
            <v>7.4931320201299025E-3</v>
          </cell>
          <cell r="AE298">
            <v>17.916</v>
          </cell>
        </row>
        <row r="299">
          <cell r="Z299">
            <v>125962.47</v>
          </cell>
          <cell r="AA299">
            <v>125962.47</v>
          </cell>
          <cell r="AD299">
            <v>0</v>
          </cell>
          <cell r="AE299">
            <v>22.84</v>
          </cell>
        </row>
        <row r="300">
          <cell r="Z300">
            <v>255647.47</v>
          </cell>
          <cell r="AA300">
            <v>255647.47</v>
          </cell>
          <cell r="AE300">
            <v>45.088000000000001</v>
          </cell>
        </row>
        <row r="301">
          <cell r="Z301">
            <v>256765.4</v>
          </cell>
          <cell r="AA301">
            <v>256765.4</v>
          </cell>
          <cell r="AD301">
            <v>0</v>
          </cell>
          <cell r="AE301">
            <v>75.906000000000006</v>
          </cell>
        </row>
        <row r="302">
          <cell r="Z302">
            <v>359320.12</v>
          </cell>
          <cell r="AA302">
            <v>359320.12</v>
          </cell>
          <cell r="AD302">
            <v>0</v>
          </cell>
          <cell r="AE302">
            <v>65.807999999999993</v>
          </cell>
        </row>
        <row r="303">
          <cell r="Z303">
            <v>333933.14600000001</v>
          </cell>
          <cell r="AA303">
            <v>333807.17</v>
          </cell>
          <cell r="AD303">
            <v>5.1656969164923293E-4</v>
          </cell>
          <cell r="AE303">
            <v>421.23400000000004</v>
          </cell>
        </row>
        <row r="304">
          <cell r="Z304">
            <v>426348.65399999998</v>
          </cell>
          <cell r="AA304">
            <v>423226.34</v>
          </cell>
          <cell r="AD304">
            <v>6.4860868028521887E-3</v>
          </cell>
          <cell r="AE304">
            <v>460.70200000000006</v>
          </cell>
        </row>
        <row r="305">
          <cell r="Z305">
            <v>434340.54599999997</v>
          </cell>
          <cell r="AA305">
            <v>432475.62</v>
          </cell>
          <cell r="AD305">
            <v>4.564720754862946E-3</v>
          </cell>
          <cell r="AE305">
            <v>784.53600000000006</v>
          </cell>
        </row>
        <row r="306">
          <cell r="Z306">
            <v>471430.16200000001</v>
          </cell>
          <cell r="AA306">
            <v>470999.79</v>
          </cell>
          <cell r="AD306">
            <v>7.1907937207789992E-4</v>
          </cell>
          <cell r="AE306">
            <v>1094.5900000000001</v>
          </cell>
        </row>
        <row r="307">
          <cell r="Z307">
            <v>492311.88399999996</v>
          </cell>
          <cell r="AA307">
            <v>491436.38</v>
          </cell>
          <cell r="AD307">
            <v>1.5948258263189707E-3</v>
          </cell>
          <cell r="AE307">
            <v>1408.8</v>
          </cell>
        </row>
        <row r="309">
          <cell r="Z309">
            <v>75693.72</v>
          </cell>
          <cell r="AA309">
            <v>75693.72</v>
          </cell>
          <cell r="AD309">
            <v>0</v>
          </cell>
          <cell r="AE309">
            <v>14.946000000000002</v>
          </cell>
        </row>
        <row r="310">
          <cell r="Z310">
            <v>116220.38</v>
          </cell>
          <cell r="AA310">
            <v>116220.38</v>
          </cell>
          <cell r="AD310">
            <v>0</v>
          </cell>
          <cell r="AE310">
            <v>21.266000000000002</v>
          </cell>
        </row>
        <row r="311">
          <cell r="Z311">
            <v>148248.37</v>
          </cell>
          <cell r="AA311">
            <v>148248.37</v>
          </cell>
          <cell r="AD311">
            <v>0</v>
          </cell>
          <cell r="AE311">
            <v>34.018000000000001</v>
          </cell>
        </row>
        <row r="312">
          <cell r="Z312">
            <v>164866.01</v>
          </cell>
          <cell r="AA312">
            <v>164866.01</v>
          </cell>
          <cell r="AD312">
            <v>0</v>
          </cell>
          <cell r="AE312">
            <v>36.463999999999999</v>
          </cell>
        </row>
        <row r="313">
          <cell r="Z313">
            <v>193735.14</v>
          </cell>
          <cell r="AA313">
            <v>193735.14</v>
          </cell>
          <cell r="AD313">
            <v>0</v>
          </cell>
          <cell r="AE313">
            <v>50.274000000000001</v>
          </cell>
        </row>
        <row r="314">
          <cell r="Z314">
            <v>220762.37000000002</v>
          </cell>
          <cell r="AA314">
            <v>220762.37</v>
          </cell>
          <cell r="AD314">
            <v>1.4739410368462095E-16</v>
          </cell>
          <cell r="AE314">
            <v>62.322000000000003</v>
          </cell>
        </row>
        <row r="315">
          <cell r="Z315">
            <v>230244.53999999998</v>
          </cell>
          <cell r="AA315">
            <v>230244.54</v>
          </cell>
          <cell r="AD315">
            <v>1.4132396648121454E-16</v>
          </cell>
          <cell r="AE315">
            <v>81.387999999999991</v>
          </cell>
        </row>
        <row r="316">
          <cell r="Z316">
            <v>252640.10999999996</v>
          </cell>
          <cell r="AA316">
            <v>252640.11</v>
          </cell>
          <cell r="AD316">
            <v>1.2879614267680086E-16</v>
          </cell>
          <cell r="AE316">
            <v>90.847999999999999</v>
          </cell>
        </row>
        <row r="317">
          <cell r="Z317">
            <v>265428.51200000005</v>
          </cell>
          <cell r="AA317">
            <v>265398.32</v>
          </cell>
          <cell r="AD317">
            <v>2.5434857720440753E-4</v>
          </cell>
          <cell r="AE317">
            <v>95.096000000000018</v>
          </cell>
        </row>
        <row r="318">
          <cell r="Z318">
            <v>291702.02800000005</v>
          </cell>
          <cell r="AA318">
            <v>291648.53999999998</v>
          </cell>
          <cell r="AD318">
            <v>2.510831374460221E-4</v>
          </cell>
          <cell r="AE318">
            <v>118.07599999999999</v>
          </cell>
        </row>
        <row r="320">
          <cell r="Z320">
            <v>94788.78</v>
          </cell>
          <cell r="AA320">
            <v>94788.78</v>
          </cell>
          <cell r="AD320">
            <v>0</v>
          </cell>
          <cell r="AE320">
            <v>19.431999999999999</v>
          </cell>
        </row>
        <row r="321">
          <cell r="Z321">
            <v>153819.10999999999</v>
          </cell>
          <cell r="AA321">
            <v>153819.10999999999</v>
          </cell>
          <cell r="AD321">
            <v>0</v>
          </cell>
          <cell r="AE321">
            <v>33.6</v>
          </cell>
        </row>
        <row r="322">
          <cell r="Z322">
            <v>192879.52999999997</v>
          </cell>
          <cell r="AA322">
            <v>192354.9</v>
          </cell>
          <cell r="AD322">
            <v>6.0820779843030115E-3</v>
          </cell>
          <cell r="AE322">
            <v>54.748000000000005</v>
          </cell>
        </row>
        <row r="323">
          <cell r="Z323">
            <v>216415.03999999998</v>
          </cell>
          <cell r="AA323">
            <v>216415.04</v>
          </cell>
          <cell r="AD323">
            <v>1.5035494600302576E-16</v>
          </cell>
          <cell r="AE323">
            <v>62.720000000000006</v>
          </cell>
        </row>
        <row r="324">
          <cell r="Z324">
            <v>270108.38799999992</v>
          </cell>
          <cell r="AA324">
            <v>269268.3</v>
          </cell>
          <cell r="AD324">
            <v>1.7386482228402868E-3</v>
          </cell>
          <cell r="AE324">
            <v>114.23400000000001</v>
          </cell>
        </row>
        <row r="325">
          <cell r="Z325">
            <v>287042.93400000001</v>
          </cell>
          <cell r="AA325">
            <v>286945.28999999998</v>
          </cell>
          <cell r="AD325">
            <v>4.6579984272530575E-4</v>
          </cell>
          <cell r="AE325">
            <v>119.97799999999999</v>
          </cell>
        </row>
        <row r="326">
          <cell r="Z326">
            <v>306543.32799999998</v>
          </cell>
          <cell r="AA326">
            <v>305605.24</v>
          </cell>
          <cell r="AD326">
            <v>4.325266789737406E-3</v>
          </cell>
          <cell r="AE326">
            <v>210.83</v>
          </cell>
        </row>
        <row r="327">
          <cell r="Z327">
            <v>332362.13</v>
          </cell>
          <cell r="AA327">
            <v>332362.13</v>
          </cell>
          <cell r="AD327">
            <v>0</v>
          </cell>
          <cell r="AE327">
            <v>249.86599999999999</v>
          </cell>
        </row>
        <row r="328">
          <cell r="Z328">
            <v>353413.30200000003</v>
          </cell>
          <cell r="AA328">
            <v>352821.03</v>
          </cell>
          <cell r="AD328">
            <v>2.2947688495515246E-3</v>
          </cell>
          <cell r="AE328">
            <v>386.03399999999999</v>
          </cell>
        </row>
        <row r="329">
          <cell r="Z329">
            <v>389224.52999999997</v>
          </cell>
          <cell r="AA329">
            <v>388885.81</v>
          </cell>
          <cell r="AD329">
            <v>1.2070258737802069E-3</v>
          </cell>
          <cell r="AE329">
            <v>376.23599999999999</v>
          </cell>
        </row>
        <row r="331">
          <cell r="Z331" t="str">
            <v>Infeasible</v>
          </cell>
          <cell r="AA331" t="str">
            <v>-</v>
          </cell>
          <cell r="AD331" t="str">
            <v>-</v>
          </cell>
          <cell r="AE331">
            <v>20.61</v>
          </cell>
        </row>
        <row r="332">
          <cell r="Z332" t="str">
            <v>Infeasible</v>
          </cell>
          <cell r="AA332" t="str">
            <v>-</v>
          </cell>
          <cell r="AD332" t="str">
            <v>-</v>
          </cell>
          <cell r="AE332">
            <v>39.572000000000003</v>
          </cell>
        </row>
        <row r="333">
          <cell r="Z333">
            <v>244693.37999999998</v>
          </cell>
          <cell r="AA333">
            <v>244693.38</v>
          </cell>
          <cell r="AD333">
            <v>1.3297896188872237E-16</v>
          </cell>
          <cell r="AE333">
            <v>74.611999999999995</v>
          </cell>
        </row>
        <row r="334">
          <cell r="Z334">
            <v>296464.04200000002</v>
          </cell>
          <cell r="AA334">
            <v>294069.09000000003</v>
          </cell>
          <cell r="AD334">
            <v>1.8063828040397068E-2</v>
          </cell>
          <cell r="AE334">
            <v>112.75200000000002</v>
          </cell>
        </row>
        <row r="335">
          <cell r="Z335">
            <v>391842.91799999995</v>
          </cell>
          <cell r="AA335">
            <v>389601.19</v>
          </cell>
          <cell r="AD335">
            <v>5.7984800073012628E-3</v>
          </cell>
          <cell r="AE335">
            <v>125.33800000000001</v>
          </cell>
        </row>
        <row r="336">
          <cell r="Z336">
            <v>389668.49800000002</v>
          </cell>
          <cell r="AA336">
            <v>389560.03</v>
          </cell>
          <cell r="AD336">
            <v>5.4756595035976969E-4</v>
          </cell>
          <cell r="AE336">
            <v>258.33000000000004</v>
          </cell>
        </row>
        <row r="337">
          <cell r="Z337">
            <v>413634.11599999998</v>
          </cell>
          <cell r="AA337">
            <v>412492.22</v>
          </cell>
          <cell r="AD337">
            <v>6.1729847236177146E-3</v>
          </cell>
          <cell r="AE337">
            <v>446.642</v>
          </cell>
        </row>
        <row r="338">
          <cell r="Z338">
            <v>441735.99599999998</v>
          </cell>
          <cell r="AA338">
            <v>438633.69</v>
          </cell>
          <cell r="AD338">
            <v>6.417495316301332E-3</v>
          </cell>
          <cell r="AE338">
            <v>763.65</v>
          </cell>
        </row>
        <row r="339">
          <cell r="Z339">
            <v>471602.03600000002</v>
          </cell>
          <cell r="AA339">
            <v>471026.8</v>
          </cell>
          <cell r="AD339">
            <v>2.7274411493530232E-3</v>
          </cell>
          <cell r="AE339">
            <v>1082.3319999999999</v>
          </cell>
        </row>
        <row r="340">
          <cell r="Z340">
            <v>501930.54800000007</v>
          </cell>
          <cell r="AA340">
            <v>500331.28</v>
          </cell>
          <cell r="AD340">
            <v>3.4791663814836673E-3</v>
          </cell>
          <cell r="AE340">
            <v>1186.2919999999999</v>
          </cell>
        </row>
        <row r="342">
          <cell r="Z342">
            <v>296125.37599999999</v>
          </cell>
          <cell r="AA342">
            <v>296002.73</v>
          </cell>
          <cell r="AD342">
            <v>3.7808299137338661E-4</v>
          </cell>
          <cell r="AE342">
            <v>120.01200000000001</v>
          </cell>
        </row>
        <row r="343">
          <cell r="Z343">
            <v>394789.43599999999</v>
          </cell>
          <cell r="AA343">
            <v>392419.9</v>
          </cell>
          <cell r="AD343">
            <v>3.8508332963469354E-3</v>
          </cell>
          <cell r="AE343">
            <v>461.85199999999998</v>
          </cell>
        </row>
        <row r="344">
          <cell r="Z344">
            <v>518141.408</v>
          </cell>
          <cell r="AA344">
            <v>516269.64</v>
          </cell>
          <cell r="AD344">
            <v>2.762128507482644E-3</v>
          </cell>
          <cell r="AE344">
            <v>1732.884</v>
          </cell>
        </row>
        <row r="347">
          <cell r="Z347">
            <v>66252.53</v>
          </cell>
          <cell r="AA347">
            <v>66252.53</v>
          </cell>
          <cell r="AD347">
            <v>0</v>
          </cell>
          <cell r="AE347">
            <v>28.357999999999997</v>
          </cell>
        </row>
        <row r="348">
          <cell r="Z348">
            <v>107812.58</v>
          </cell>
          <cell r="AA348">
            <v>107812.58</v>
          </cell>
          <cell r="AD348">
            <v>0</v>
          </cell>
          <cell r="AE348">
            <v>42.006</v>
          </cell>
        </row>
        <row r="349">
          <cell r="Z349">
            <v>158424.91</v>
          </cell>
          <cell r="AA349">
            <v>158424.91</v>
          </cell>
          <cell r="AD349">
            <v>0</v>
          </cell>
          <cell r="AE349">
            <v>56.177999999999997</v>
          </cell>
        </row>
        <row r="350">
          <cell r="Z350">
            <v>170487.46</v>
          </cell>
          <cell r="AA350">
            <v>170487.46</v>
          </cell>
          <cell r="AD350">
            <v>0</v>
          </cell>
          <cell r="AE350">
            <v>78.037999999999997</v>
          </cell>
        </row>
        <row r="351">
          <cell r="Z351">
            <v>217556.26</v>
          </cell>
          <cell r="AA351">
            <v>217556.26</v>
          </cell>
          <cell r="AD351">
            <v>0</v>
          </cell>
          <cell r="AE351">
            <v>85.328000000000003</v>
          </cell>
        </row>
        <row r="352">
          <cell r="Z352">
            <v>227343.35999999996</v>
          </cell>
          <cell r="AA352">
            <v>227343.35999999999</v>
          </cell>
          <cell r="AD352">
            <v>1.4312743355883658E-16</v>
          </cell>
          <cell r="AE352">
            <v>82.364000000000004</v>
          </cell>
        </row>
        <row r="353">
          <cell r="Z353">
            <v>284257.65999999997</v>
          </cell>
          <cell r="AA353">
            <v>284055.59999999998</v>
          </cell>
          <cell r="AD353">
            <v>5.8430778953022251E-4</v>
          </cell>
          <cell r="AE353">
            <v>157.91</v>
          </cell>
        </row>
        <row r="354">
          <cell r="Z354">
            <v>340451.94800000003</v>
          </cell>
          <cell r="AA354">
            <v>340416.62</v>
          </cell>
          <cell r="AD354">
            <v>1.4209011451701281E-4</v>
          </cell>
          <cell r="AE354">
            <v>196.238</v>
          </cell>
        </row>
        <row r="355">
          <cell r="Z355">
            <v>345712.49599999993</v>
          </cell>
          <cell r="AA355">
            <v>345573.41</v>
          </cell>
          <cell r="AD355">
            <v>3.6726345597664283E-4</v>
          </cell>
          <cell r="AE355">
            <v>163.34399999999999</v>
          </cell>
        </row>
        <row r="356">
          <cell r="Z356">
            <v>369176.89399999997</v>
          </cell>
          <cell r="AA356">
            <v>367097.02</v>
          </cell>
          <cell r="AD356">
            <v>3.4630134200539305E-3</v>
          </cell>
          <cell r="AE356">
            <v>169.94800000000004</v>
          </cell>
        </row>
        <row r="358">
          <cell r="Z358">
            <v>83395.989999999991</v>
          </cell>
          <cell r="AA358">
            <v>82624.59</v>
          </cell>
          <cell r="AD358">
            <v>1.2665872209787462E-2</v>
          </cell>
          <cell r="AE358">
            <v>29.47</v>
          </cell>
        </row>
        <row r="359">
          <cell r="Z359">
            <v>139967.40600000002</v>
          </cell>
          <cell r="AA359">
            <v>139446.84</v>
          </cell>
          <cell r="AD359">
            <v>3.3951444961197999E-3</v>
          </cell>
          <cell r="AE359">
            <v>43.21</v>
          </cell>
        </row>
        <row r="360">
          <cell r="Z360">
            <v>210228.77599999998</v>
          </cell>
          <cell r="AA360">
            <v>210195.63</v>
          </cell>
          <cell r="AD360">
            <v>3.5255263619191556E-4</v>
          </cell>
          <cell r="AE360">
            <v>71.435999999999993</v>
          </cell>
        </row>
        <row r="361">
          <cell r="Z361">
            <v>228084.86800000002</v>
          </cell>
          <cell r="AA361">
            <v>227586.63</v>
          </cell>
          <cell r="AD361">
            <v>3.3348930842394468E-3</v>
          </cell>
          <cell r="AE361">
            <v>101.054</v>
          </cell>
        </row>
        <row r="362">
          <cell r="Z362">
            <v>296939.41000000003</v>
          </cell>
          <cell r="AA362">
            <v>295979</v>
          </cell>
          <cell r="AD362">
            <v>2.4888435011755257E-3</v>
          </cell>
          <cell r="AE362">
            <v>198.75</v>
          </cell>
        </row>
        <row r="363">
          <cell r="Z363">
            <v>310734.29399999994</v>
          </cell>
          <cell r="AA363">
            <v>310538.86</v>
          </cell>
          <cell r="AD363">
            <v>8.8449787960002176E-4</v>
          </cell>
          <cell r="AE363">
            <v>190.57600000000002</v>
          </cell>
        </row>
        <row r="364">
          <cell r="Z364">
            <v>385511.64</v>
          </cell>
          <cell r="AA364">
            <v>384933.8</v>
          </cell>
          <cell r="AD364">
            <v>3.3516225868523283E-3</v>
          </cell>
          <cell r="AE364">
            <v>334.18799999999999</v>
          </cell>
        </row>
        <row r="365">
          <cell r="Z365">
            <v>447261.07799999992</v>
          </cell>
          <cell r="AA365">
            <v>446772.78</v>
          </cell>
          <cell r="AD365">
            <v>1.1048367518501877E-3</v>
          </cell>
          <cell r="AE365">
            <v>496.76399999999995</v>
          </cell>
        </row>
        <row r="366">
          <cell r="Z366">
            <v>458585.63399999996</v>
          </cell>
          <cell r="AA366">
            <v>457477.19</v>
          </cell>
          <cell r="AD366">
            <v>1.6376875459319243E-3</v>
          </cell>
          <cell r="AE366">
            <v>513.75</v>
          </cell>
        </row>
        <row r="367">
          <cell r="Z367">
            <v>483072.74199999997</v>
          </cell>
          <cell r="AA367">
            <v>482117.94</v>
          </cell>
          <cell r="AD367">
            <v>1.5577938426852851E-3</v>
          </cell>
          <cell r="AE367">
            <v>444.23799999999994</v>
          </cell>
        </row>
        <row r="369">
          <cell r="Z369">
            <v>99459</v>
          </cell>
          <cell r="AA369">
            <v>99459</v>
          </cell>
          <cell r="AD369">
            <v>0</v>
          </cell>
          <cell r="AE369">
            <v>27.893999999999998</v>
          </cell>
        </row>
        <row r="370">
          <cell r="Z370">
            <v>172684.83</v>
          </cell>
          <cell r="AA370">
            <v>172684.83</v>
          </cell>
          <cell r="AD370">
            <v>0</v>
          </cell>
          <cell r="AE370">
            <v>60.67</v>
          </cell>
        </row>
        <row r="371">
          <cell r="Z371">
            <v>257215.99599999998</v>
          </cell>
          <cell r="AA371">
            <v>256197.47</v>
          </cell>
          <cell r="AD371">
            <v>4.5342448021329883E-3</v>
          </cell>
          <cell r="AE371">
            <v>99.382000000000005</v>
          </cell>
        </row>
        <row r="372">
          <cell r="Z372">
            <v>278640.28599999996</v>
          </cell>
          <cell r="AA372">
            <v>277692.62</v>
          </cell>
          <cell r="AD372">
            <v>2.0876150198915139E-3</v>
          </cell>
          <cell r="AE372">
            <v>229.62399999999997</v>
          </cell>
        </row>
        <row r="373">
          <cell r="Z373">
            <v>363226.07999999996</v>
          </cell>
          <cell r="AA373">
            <v>361659.63</v>
          </cell>
          <cell r="AD373">
            <v>3.0144579701176272E-3</v>
          </cell>
          <cell r="AE373">
            <v>492.62600000000003</v>
          </cell>
        </row>
        <row r="374">
          <cell r="Z374">
            <v>380735.12400000001</v>
          </cell>
          <cell r="AA374">
            <v>378058.26</v>
          </cell>
          <cell r="AD374">
            <v>3.9303241894501611E-3</v>
          </cell>
          <cell r="AE374">
            <v>636.35799999999995</v>
          </cell>
        </row>
        <row r="375">
          <cell r="Z375">
            <v>477666.43200000003</v>
          </cell>
          <cell r="AA375">
            <v>476130.5</v>
          </cell>
          <cell r="AD375">
            <v>2.9427580975724607E-3</v>
          </cell>
          <cell r="AE375">
            <v>1082.9720000000002</v>
          </cell>
        </row>
        <row r="376">
          <cell r="Z376">
            <v>541004.08200000005</v>
          </cell>
          <cell r="AA376">
            <v>539573.5</v>
          </cell>
          <cell r="AD376">
            <v>3.7795760172600395E-3</v>
          </cell>
          <cell r="AE376">
            <v>1642.7220000000002</v>
          </cell>
        </row>
        <row r="377">
          <cell r="Z377">
            <v>554650.272</v>
          </cell>
          <cell r="AA377">
            <v>549020.26</v>
          </cell>
          <cell r="AD377">
            <v>1.0192118022112605E-2</v>
          </cell>
          <cell r="AE377">
            <v>2308.4780000000001</v>
          </cell>
        </row>
        <row r="378">
          <cell r="Z378">
            <v>574100.19400000002</v>
          </cell>
          <cell r="AA378">
            <v>571188.93999999994</v>
          </cell>
          <cell r="AD378">
            <v>3.3678177753193482E-3</v>
          </cell>
          <cell r="AE378">
            <v>2052.7979999999998</v>
          </cell>
        </row>
        <row r="380">
          <cell r="Z380">
            <v>57884.2</v>
          </cell>
          <cell r="AA380">
            <v>57884.2</v>
          </cell>
          <cell r="AD380">
            <v>0</v>
          </cell>
          <cell r="AE380">
            <v>25.568000000000001</v>
          </cell>
        </row>
        <row r="381">
          <cell r="Z381">
            <v>115338.73000000001</v>
          </cell>
          <cell r="AA381">
            <v>115338.73</v>
          </cell>
          <cell r="AD381">
            <v>1.4105873913057068E-16</v>
          </cell>
          <cell r="AE381">
            <v>36.704000000000001</v>
          </cell>
        </row>
        <row r="382">
          <cell r="Z382">
            <v>137864.81</v>
          </cell>
          <cell r="AA382">
            <v>137864.81</v>
          </cell>
          <cell r="AD382">
            <v>0</v>
          </cell>
          <cell r="AE382">
            <v>45.33</v>
          </cell>
        </row>
        <row r="383">
          <cell r="Z383">
            <v>178542.4</v>
          </cell>
          <cell r="AA383">
            <v>178542.4</v>
          </cell>
          <cell r="AD383">
            <v>0</v>
          </cell>
          <cell r="AE383">
            <v>66.394000000000005</v>
          </cell>
        </row>
        <row r="384">
          <cell r="Z384">
            <v>226327.78999999998</v>
          </cell>
          <cell r="AA384">
            <v>226327.79</v>
          </cell>
          <cell r="AD384">
            <v>1.4376966988208854E-16</v>
          </cell>
          <cell r="AE384">
            <v>95.187999999999988</v>
          </cell>
        </row>
        <row r="385">
          <cell r="Z385">
            <v>235215.14000000004</v>
          </cell>
          <cell r="AA385">
            <v>235215.14</v>
          </cell>
          <cell r="AD385">
            <v>1.3833748819673194E-16</v>
          </cell>
          <cell r="AE385">
            <v>116.6</v>
          </cell>
        </row>
        <row r="386">
          <cell r="Z386">
            <v>288936.29200000002</v>
          </cell>
          <cell r="AA386">
            <v>288695.8</v>
          </cell>
          <cell r="AD386">
            <v>1.8611592760555283E-3</v>
          </cell>
          <cell r="AE386">
            <v>140.12800000000001</v>
          </cell>
        </row>
        <row r="387">
          <cell r="Z387">
            <v>317590.55800000002</v>
          </cell>
          <cell r="AA387">
            <v>311177.36</v>
          </cell>
          <cell r="AD387">
            <v>3.5403533620369021E-2</v>
          </cell>
          <cell r="AE387">
            <v>145.42400000000001</v>
          </cell>
        </row>
        <row r="388">
          <cell r="Z388">
            <v>345242.10399999999</v>
          </cell>
          <cell r="AA388">
            <v>345210.24</v>
          </cell>
          <cell r="AD388">
            <v>1.2637965771080862E-4</v>
          </cell>
          <cell r="AE388">
            <v>217.84399999999997</v>
          </cell>
        </row>
        <row r="389">
          <cell r="Z389">
            <v>372454.03600000002</v>
          </cell>
          <cell r="AA389">
            <v>371973.34</v>
          </cell>
          <cell r="AD389">
            <v>2.7965937916169859E-3</v>
          </cell>
          <cell r="AE389">
            <v>142.858</v>
          </cell>
        </row>
        <row r="391">
          <cell r="Z391">
            <v>82923.94</v>
          </cell>
          <cell r="AA391">
            <v>82923.94</v>
          </cell>
          <cell r="AD391">
            <v>0</v>
          </cell>
          <cell r="AE391">
            <v>29.268000000000001</v>
          </cell>
        </row>
        <row r="392">
          <cell r="Z392">
            <v>168942.83</v>
          </cell>
          <cell r="AA392">
            <v>168942.83</v>
          </cell>
          <cell r="AD392">
            <v>0</v>
          </cell>
          <cell r="AE392">
            <v>168.91800000000001</v>
          </cell>
        </row>
        <row r="393">
          <cell r="Z393">
            <v>220282.52000000002</v>
          </cell>
          <cell r="AA393">
            <v>216072.34</v>
          </cell>
          <cell r="AD393">
            <v>4.1553475172654224E-2</v>
          </cell>
          <cell r="AE393">
            <v>220.98400000000001</v>
          </cell>
        </row>
        <row r="394">
          <cell r="Z394">
            <v>242290.95600000001</v>
          </cell>
          <cell r="AA394">
            <v>241965.98</v>
          </cell>
          <cell r="AD394">
            <v>2.8403490131034595E-3</v>
          </cell>
          <cell r="AE394">
            <v>138.43</v>
          </cell>
        </row>
        <row r="395">
          <cell r="Z395">
            <v>309038.864</v>
          </cell>
          <cell r="AA395">
            <v>308053.06</v>
          </cell>
          <cell r="AD395">
            <v>2.7170630306430086E-3</v>
          </cell>
          <cell r="AE395">
            <v>326.08600000000001</v>
          </cell>
        </row>
        <row r="396">
          <cell r="Z396">
            <v>320507.15000000002</v>
          </cell>
          <cell r="AA396">
            <v>319905.51</v>
          </cell>
          <cell r="AD396">
            <v>1.9344693353838304E-3</v>
          </cell>
          <cell r="AE396">
            <v>408.55599999999998</v>
          </cell>
        </row>
        <row r="397">
          <cell r="Z397">
            <v>376811.11600000004</v>
          </cell>
          <cell r="AA397">
            <v>375186.04</v>
          </cell>
          <cell r="AD397">
            <v>4.0768754678150131E-3</v>
          </cell>
          <cell r="AE397">
            <v>562.00800000000004</v>
          </cell>
        </row>
        <row r="398">
          <cell r="Z398">
            <v>408789.55599999998</v>
          </cell>
          <cell r="AA398">
            <v>408075.11</v>
          </cell>
          <cell r="AD398">
            <v>1.9911085441843518E-3</v>
          </cell>
          <cell r="AE398">
            <v>488.30799999999999</v>
          </cell>
        </row>
        <row r="399">
          <cell r="Z399">
            <v>457092.38</v>
          </cell>
          <cell r="AA399">
            <v>456262.8</v>
          </cell>
          <cell r="AD399">
            <v>1.961785811620174E-3</v>
          </cell>
          <cell r="AE399">
            <v>601.024</v>
          </cell>
        </row>
        <row r="400">
          <cell r="Z400">
            <v>490790.89400000003</v>
          </cell>
          <cell r="AA400">
            <v>489252.48</v>
          </cell>
          <cell r="AD400">
            <v>2.4011090558801757E-3</v>
          </cell>
          <cell r="AE400">
            <v>416.38199999999995</v>
          </cell>
        </row>
        <row r="402">
          <cell r="Z402" t="str">
            <v>Infeasible</v>
          </cell>
          <cell r="AA402" t="str">
            <v>-</v>
          </cell>
          <cell r="AD402" t="str">
            <v>-</v>
          </cell>
          <cell r="AE402">
            <v>31.302000000000003</v>
          </cell>
        </row>
        <row r="403">
          <cell r="Z403" t="str">
            <v>Infeasible</v>
          </cell>
          <cell r="AA403" t="str">
            <v>-</v>
          </cell>
          <cell r="AD403" t="str">
            <v>-</v>
          </cell>
          <cell r="AE403">
            <v>93.772000000000006</v>
          </cell>
        </row>
        <row r="404">
          <cell r="Z404" t="str">
            <v>Infeasible</v>
          </cell>
          <cell r="AA404" t="str">
            <v>-</v>
          </cell>
          <cell r="AD404" t="str">
            <v>-</v>
          </cell>
          <cell r="AE404">
            <v>121.48600000000002</v>
          </cell>
        </row>
        <row r="405">
          <cell r="Z405">
            <v>296141.48</v>
          </cell>
          <cell r="AA405">
            <v>296141.48</v>
          </cell>
          <cell r="AD405">
            <v>0</v>
          </cell>
          <cell r="AE405">
            <v>291.39800000000002</v>
          </cell>
        </row>
        <row r="406">
          <cell r="Z406">
            <v>378153.696</v>
          </cell>
          <cell r="AA406">
            <v>377766.74</v>
          </cell>
          <cell r="AD406">
            <v>2.288117052547388E-3</v>
          </cell>
          <cell r="AE406">
            <v>569.80800000000011</v>
          </cell>
        </row>
        <row r="407">
          <cell r="Z407">
            <v>391051.34</v>
          </cell>
          <cell r="AA407">
            <v>391051.34</v>
          </cell>
          <cell r="AD407">
            <v>0</v>
          </cell>
          <cell r="AE407">
            <v>1036.2339999999999</v>
          </cell>
        </row>
        <row r="408">
          <cell r="Z408">
            <v>452943</v>
          </cell>
          <cell r="AA408">
            <v>449631.53</v>
          </cell>
          <cell r="AD408">
            <v>6.8207376288407437E-3</v>
          </cell>
          <cell r="AE408">
            <v>1364.3520000000001</v>
          </cell>
        </row>
        <row r="409">
          <cell r="Z409">
            <v>488785.66799999995</v>
          </cell>
          <cell r="AA409">
            <v>485154.87</v>
          </cell>
          <cell r="AD409">
            <v>4.9657767656100336E-3</v>
          </cell>
          <cell r="AE409">
            <v>1422.8340000000001</v>
          </cell>
        </row>
        <row r="410">
          <cell r="Z410">
            <v>550827.196</v>
          </cell>
          <cell r="AA410">
            <v>547548.30000000005</v>
          </cell>
          <cell r="AD410">
            <v>6.5181680425220826E-3</v>
          </cell>
          <cell r="AE410">
            <v>2233.8139999999999</v>
          </cell>
        </row>
        <row r="411">
          <cell r="Z411">
            <v>587264.32000000007</v>
          </cell>
          <cell r="AA411">
            <v>581241.61</v>
          </cell>
          <cell r="AD411">
            <v>5.8014680727677612E-3</v>
          </cell>
          <cell r="AE411">
            <v>2061.0540000000001</v>
          </cell>
        </row>
        <row r="413">
          <cell r="Z413">
            <v>62091.680000000008</v>
          </cell>
          <cell r="AA413">
            <v>62091.68</v>
          </cell>
          <cell r="AD413">
            <v>1.3101220507096384E-16</v>
          </cell>
          <cell r="AE413">
            <v>23.985999999999997</v>
          </cell>
        </row>
        <row r="414">
          <cell r="Z414">
            <v>106724.82000000002</v>
          </cell>
          <cell r="AA414">
            <v>106724.82</v>
          </cell>
          <cell r="AD414">
            <v>1.5244378792788151E-16</v>
          </cell>
          <cell r="AE414">
            <v>32.676000000000002</v>
          </cell>
        </row>
        <row r="415">
          <cell r="Z415">
            <v>140678.07599999997</v>
          </cell>
          <cell r="AA415">
            <v>140474.46</v>
          </cell>
          <cell r="AD415">
            <v>1.321279991879911E-3</v>
          </cell>
          <cell r="AE415">
            <v>42.037999999999997</v>
          </cell>
        </row>
        <row r="416">
          <cell r="Z416">
            <v>171577.04</v>
          </cell>
          <cell r="AA416">
            <v>171577.04</v>
          </cell>
          <cell r="AD416">
            <v>0</v>
          </cell>
          <cell r="AE416">
            <v>57.734000000000002</v>
          </cell>
        </row>
        <row r="417">
          <cell r="Z417">
            <v>198401.83</v>
          </cell>
          <cell r="AA417">
            <v>198401.83</v>
          </cell>
          <cell r="AD417">
            <v>0</v>
          </cell>
          <cell r="AE417">
            <v>66.89</v>
          </cell>
        </row>
        <row r="418">
          <cell r="Z418">
            <v>227094.48199999999</v>
          </cell>
          <cell r="AA418">
            <v>226392.65</v>
          </cell>
          <cell r="AD418">
            <v>4.2322753049309735E-3</v>
          </cell>
          <cell r="AE418">
            <v>114.476</v>
          </cell>
        </row>
        <row r="419">
          <cell r="Z419">
            <v>257558.72000000003</v>
          </cell>
          <cell r="AA419">
            <v>257558.72</v>
          </cell>
          <cell r="AD419">
            <v>1.263365171772971E-16</v>
          </cell>
          <cell r="AE419">
            <v>113.25400000000002</v>
          </cell>
        </row>
        <row r="420">
          <cell r="Z420">
            <v>287929.01199999999</v>
          </cell>
          <cell r="AA420">
            <v>287887.48</v>
          </cell>
          <cell r="AD420">
            <v>1.9751407734407234E-4</v>
          </cell>
          <cell r="AE420">
            <v>149.69800000000001</v>
          </cell>
        </row>
        <row r="421">
          <cell r="Z421">
            <v>340043.39199999999</v>
          </cell>
          <cell r="AA421">
            <v>339823.55</v>
          </cell>
          <cell r="AD421">
            <v>8.9183052360338995E-4</v>
          </cell>
          <cell r="AE421">
            <v>296.89</v>
          </cell>
        </row>
        <row r="422">
          <cell r="Z422">
            <v>393352.04800000001</v>
          </cell>
          <cell r="AA422">
            <v>383171.2</v>
          </cell>
          <cell r="AD422">
            <v>1.4468634593579627E-2</v>
          </cell>
          <cell r="AE422">
            <v>341.89400000000001</v>
          </cell>
        </row>
        <row r="424">
          <cell r="Z424">
            <v>81002.429999999993</v>
          </cell>
          <cell r="AA424">
            <v>81002.429999999993</v>
          </cell>
          <cell r="AD424">
            <v>0</v>
          </cell>
          <cell r="AE424">
            <v>27.657999999999998</v>
          </cell>
        </row>
        <row r="425">
          <cell r="Z425">
            <v>149823.58199999999</v>
          </cell>
          <cell r="AA425">
            <v>148925.73000000001</v>
          </cell>
          <cell r="AD425">
            <v>9.2261591643278927E-3</v>
          </cell>
          <cell r="AE425">
            <v>40.387999999999998</v>
          </cell>
        </row>
        <row r="426">
          <cell r="Z426">
            <v>190519.12399999998</v>
          </cell>
          <cell r="AA426">
            <v>189211.38</v>
          </cell>
          <cell r="AD426">
            <v>1.5295347826258875E-2</v>
          </cell>
          <cell r="AE426">
            <v>56.036000000000001</v>
          </cell>
        </row>
        <row r="427">
          <cell r="Z427">
            <v>231804.29800000001</v>
          </cell>
          <cell r="AA427">
            <v>230595.63</v>
          </cell>
          <cell r="AD427">
            <v>4.0168826932142181E-3</v>
          </cell>
          <cell r="AE427">
            <v>217.43800000000002</v>
          </cell>
        </row>
        <row r="428">
          <cell r="Z428">
            <v>267176.14</v>
          </cell>
          <cell r="AA428">
            <v>266125.90000000002</v>
          </cell>
          <cell r="AD428">
            <v>4.1357520430143095E-3</v>
          </cell>
          <cell r="AE428">
            <v>289.05</v>
          </cell>
        </row>
        <row r="429">
          <cell r="Z429">
            <v>308833.72600000002</v>
          </cell>
          <cell r="AA429">
            <v>307782</v>
          </cell>
          <cell r="AD429">
            <v>2.5363197791559958E-3</v>
          </cell>
          <cell r="AE429">
            <v>735.52599999999995</v>
          </cell>
        </row>
        <row r="430">
          <cell r="Z430">
            <v>356101.14799999993</v>
          </cell>
          <cell r="AA430">
            <v>337230.25</v>
          </cell>
          <cell r="AD430">
            <v>4.8407116768414277E-2</v>
          </cell>
          <cell r="AE430">
            <v>326.45</v>
          </cell>
        </row>
        <row r="431">
          <cell r="Z431">
            <v>381342.12800000003</v>
          </cell>
          <cell r="AA431">
            <v>380901.88</v>
          </cell>
          <cell r="AD431">
            <v>7.8803672060009185E-4</v>
          </cell>
          <cell r="AE431">
            <v>394.71600000000001</v>
          </cell>
        </row>
        <row r="432">
          <cell r="Z432">
            <v>448087.06599999999</v>
          </cell>
          <cell r="AA432">
            <v>436748.18</v>
          </cell>
          <cell r="AD432">
            <v>2.1652890062272816E-2</v>
          </cell>
          <cell r="AE432">
            <v>409.11399999999998</v>
          </cell>
        </row>
        <row r="433">
          <cell r="Z433">
            <v>518457.86199999991</v>
          </cell>
          <cell r="AA433">
            <v>503074.9</v>
          </cell>
          <cell r="AD433">
            <v>1.6678057011578956E-2</v>
          </cell>
          <cell r="AE433">
            <v>620.81000000000006</v>
          </cell>
        </row>
        <row r="435">
          <cell r="Z435">
            <v>101863.24</v>
          </cell>
          <cell r="AA435">
            <v>101863.24</v>
          </cell>
          <cell r="AD435">
            <v>0</v>
          </cell>
          <cell r="AE435">
            <v>28.033999999999999</v>
          </cell>
        </row>
        <row r="436">
          <cell r="Z436">
            <v>214555.23799999998</v>
          </cell>
          <cell r="AA436">
            <v>213797.21</v>
          </cell>
          <cell r="AD436">
            <v>3.3839411024947784E-3</v>
          </cell>
          <cell r="AE436">
            <v>77.167999999999992</v>
          </cell>
        </row>
        <row r="437">
          <cell r="Z437">
            <v>316593.83799999999</v>
          </cell>
          <cell r="AA437">
            <v>314957.19</v>
          </cell>
          <cell r="AD437">
            <v>4.6915910787795724E-3</v>
          </cell>
          <cell r="AE437">
            <v>130.39600000000002</v>
          </cell>
        </row>
        <row r="438">
          <cell r="Z438">
            <v>322809.85000000003</v>
          </cell>
          <cell r="AA438">
            <v>321976.33</v>
          </cell>
          <cell r="AD438">
            <v>2.2361445741584025E-3</v>
          </cell>
          <cell r="AE438">
            <v>253.57200000000003</v>
          </cell>
        </row>
        <row r="439">
          <cell r="Z439">
            <v>413419.14249999996</v>
          </cell>
          <cell r="AA439">
            <v>406267.09</v>
          </cell>
          <cell r="AD439">
            <v>1.3653761734020385E-2</v>
          </cell>
          <cell r="AE439">
            <v>519.99399999999991</v>
          </cell>
        </row>
        <row r="440">
          <cell r="Z440">
            <v>432477.62333333329</v>
          </cell>
          <cell r="AA440">
            <v>428317.74</v>
          </cell>
          <cell r="AD440">
            <v>8.4460021500874886E-3</v>
          </cell>
          <cell r="AE440">
            <v>1045.9849999999999</v>
          </cell>
        </row>
        <row r="441">
          <cell r="Z441">
            <v>406702.29200000002</v>
          </cell>
          <cell r="AA441">
            <v>405865.47</v>
          </cell>
          <cell r="AD441">
            <v>4.6008859892713583E-3</v>
          </cell>
          <cell r="AE441">
            <v>1304.7639999999999</v>
          </cell>
        </row>
        <row r="442">
          <cell r="Z442">
            <v>454177.18800000008</v>
          </cell>
          <cell r="AA442">
            <v>453569.02</v>
          </cell>
          <cell r="AD442">
            <v>2.1022916291969247E-3</v>
          </cell>
          <cell r="AE442">
            <v>1820.6320000000001</v>
          </cell>
        </row>
        <row r="443">
          <cell r="Z443">
            <v>545787.12599999993</v>
          </cell>
          <cell r="AA443">
            <v>545474.68999999994</v>
          </cell>
          <cell r="AD443">
            <v>5.2963945391981627E-4</v>
          </cell>
          <cell r="AE443">
            <v>2432.7139999999999</v>
          </cell>
        </row>
        <row r="444">
          <cell r="Z444">
            <v>625048.46</v>
          </cell>
          <cell r="AA444">
            <v>622132.99</v>
          </cell>
          <cell r="AD444">
            <v>3.7637155062136538E-3</v>
          </cell>
          <cell r="AE444">
            <v>2784.5379999999996</v>
          </cell>
        </row>
        <row r="446">
          <cell r="Z446">
            <v>106551.73000000001</v>
          </cell>
          <cell r="AA446">
            <v>106551.73</v>
          </cell>
          <cell r="AD446">
            <v>1.5269142816096302E-16</v>
          </cell>
          <cell r="AE446">
            <v>24.422000000000004</v>
          </cell>
        </row>
        <row r="447">
          <cell r="Z447">
            <v>114277.15</v>
          </cell>
          <cell r="AA447">
            <v>114277.15</v>
          </cell>
          <cell r="AD447">
            <v>0</v>
          </cell>
          <cell r="AE447">
            <v>36.31</v>
          </cell>
        </row>
        <row r="448">
          <cell r="Z448">
            <v>173841.01</v>
          </cell>
          <cell r="AA448">
            <v>173841.01</v>
          </cell>
          <cell r="AD448">
            <v>0</v>
          </cell>
          <cell r="AE448">
            <v>48.591999999999999</v>
          </cell>
        </row>
        <row r="449">
          <cell r="Z449">
            <v>187703.7</v>
          </cell>
          <cell r="AA449">
            <v>187703.7</v>
          </cell>
          <cell r="AD449">
            <v>0</v>
          </cell>
          <cell r="AE449">
            <v>60.95</v>
          </cell>
        </row>
        <row r="450">
          <cell r="Z450">
            <v>234102.12999999998</v>
          </cell>
          <cell r="AA450">
            <v>234102.13</v>
          </cell>
          <cell r="AD450">
            <v>1.3899519689736553E-16</v>
          </cell>
          <cell r="AE450">
            <v>79.893999999999991</v>
          </cell>
        </row>
        <row r="451">
          <cell r="Z451">
            <v>238335.43</v>
          </cell>
          <cell r="AA451">
            <v>238335.43</v>
          </cell>
          <cell r="AD451">
            <v>0</v>
          </cell>
          <cell r="AE451">
            <v>117.43199999999999</v>
          </cell>
        </row>
        <row r="452">
          <cell r="Z452">
            <v>289638.96000000002</v>
          </cell>
          <cell r="AA452">
            <v>289638.96000000002</v>
          </cell>
          <cell r="AD452">
            <v>0</v>
          </cell>
          <cell r="AE452">
            <v>138.47200000000001</v>
          </cell>
        </row>
        <row r="453">
          <cell r="Z453">
            <v>297761.62</v>
          </cell>
          <cell r="AA453">
            <v>297332.74</v>
          </cell>
          <cell r="AD453">
            <v>2.1364671017030938E-3</v>
          </cell>
          <cell r="AE453">
            <v>145.93400000000003</v>
          </cell>
        </row>
        <row r="454">
          <cell r="Z454">
            <v>352371.85600000003</v>
          </cell>
          <cell r="AA454">
            <v>352363.49</v>
          </cell>
          <cell r="AD454">
            <v>5.3088645932524547E-5</v>
          </cell>
          <cell r="AE454">
            <v>177.44200000000001</v>
          </cell>
        </row>
        <row r="455">
          <cell r="Z455">
            <v>394272.91399999999</v>
          </cell>
          <cell r="AA455">
            <v>384066.12</v>
          </cell>
          <cell r="AD455">
            <v>1.4472330261361596E-2</v>
          </cell>
          <cell r="AE455">
            <v>318.45800000000003</v>
          </cell>
        </row>
        <row r="457">
          <cell r="Z457">
            <v>139190.54</v>
          </cell>
          <cell r="AA457">
            <v>139190.54</v>
          </cell>
          <cell r="AD457">
            <v>0</v>
          </cell>
          <cell r="AE457">
            <v>25.202000000000002</v>
          </cell>
        </row>
        <row r="458">
          <cell r="Z458">
            <v>145193.07</v>
          </cell>
          <cell r="AA458">
            <v>145193.07</v>
          </cell>
          <cell r="AD458">
            <v>0</v>
          </cell>
          <cell r="AE458">
            <v>39.024000000000001</v>
          </cell>
        </row>
        <row r="459">
          <cell r="Z459">
            <v>230317.07599999997</v>
          </cell>
          <cell r="AA459">
            <v>229531.08</v>
          </cell>
          <cell r="AD459">
            <v>4.6812354212582025E-3</v>
          </cell>
          <cell r="AE459">
            <v>63.112000000000002</v>
          </cell>
        </row>
        <row r="460">
          <cell r="Z460">
            <v>250939.8</v>
          </cell>
          <cell r="AA460">
            <v>250939.8</v>
          </cell>
          <cell r="AD460">
            <v>0</v>
          </cell>
          <cell r="AE460">
            <v>97.478000000000009</v>
          </cell>
        </row>
        <row r="461">
          <cell r="Z461">
            <v>314304.04599999997</v>
          </cell>
          <cell r="AA461">
            <v>313829.02</v>
          </cell>
          <cell r="AD461">
            <v>2.5267894180646304E-3</v>
          </cell>
          <cell r="AE461">
            <v>132.48000000000002</v>
          </cell>
        </row>
        <row r="462">
          <cell r="Z462">
            <v>315815.21600000001</v>
          </cell>
          <cell r="AA462">
            <v>315508.52</v>
          </cell>
          <cell r="AD462">
            <v>9.5118922671501185E-4</v>
          </cell>
          <cell r="AE462">
            <v>272.286</v>
          </cell>
        </row>
        <row r="463">
          <cell r="Z463">
            <v>387481.85200000001</v>
          </cell>
          <cell r="AA463">
            <v>387105.62</v>
          </cell>
          <cell r="AD463">
            <v>8.5421611326853407E-4</v>
          </cell>
          <cell r="AE463">
            <v>483.38600000000008</v>
          </cell>
        </row>
        <row r="464">
          <cell r="Z464">
            <v>400776.99000000005</v>
          </cell>
          <cell r="AA464">
            <v>400327.55</v>
          </cell>
          <cell r="AD464">
            <v>1.2244761163814498E-3</v>
          </cell>
          <cell r="AE464">
            <v>382.73400000000004</v>
          </cell>
        </row>
        <row r="465">
          <cell r="Z465">
            <v>465378.86799999996</v>
          </cell>
          <cell r="AA465">
            <v>462977.25</v>
          </cell>
          <cell r="AD465">
            <v>3.5938317505988869E-3</v>
          </cell>
          <cell r="AE465">
            <v>505.55599999999993</v>
          </cell>
        </row>
        <row r="466">
          <cell r="Z466">
            <v>523691.58799999999</v>
          </cell>
          <cell r="AA466">
            <v>522990.57</v>
          </cell>
          <cell r="AD466">
            <v>1.448677925982357E-3</v>
          </cell>
          <cell r="AE466">
            <v>871.25800000000004</v>
          </cell>
        </row>
        <row r="468">
          <cell r="Z468">
            <v>171236.47</v>
          </cell>
          <cell r="AA468">
            <v>171236.47</v>
          </cell>
          <cell r="AD468">
            <v>0</v>
          </cell>
          <cell r="AE468">
            <v>28.642000000000003</v>
          </cell>
        </row>
        <row r="469">
          <cell r="Z469">
            <v>179141.15</v>
          </cell>
          <cell r="AA469">
            <v>179141.15</v>
          </cell>
          <cell r="AD469">
            <v>0</v>
          </cell>
          <cell r="AE469">
            <v>60.454000000000008</v>
          </cell>
        </row>
        <row r="470">
          <cell r="Z470">
            <v>288871.674</v>
          </cell>
          <cell r="AA470">
            <v>288737.75</v>
          </cell>
          <cell r="AD470">
            <v>1.0366650480887224E-3</v>
          </cell>
          <cell r="AE470">
            <v>107.042</v>
          </cell>
        </row>
        <row r="471">
          <cell r="Z471">
            <v>373591.85799999995</v>
          </cell>
          <cell r="AA471">
            <v>373316.76</v>
          </cell>
          <cell r="AD471">
            <v>5.4278146762242298E-4</v>
          </cell>
          <cell r="AE471">
            <v>225.642</v>
          </cell>
        </row>
        <row r="472">
          <cell r="Z472">
            <v>387312.85</v>
          </cell>
          <cell r="AA472">
            <v>387312.85</v>
          </cell>
          <cell r="AD472">
            <v>0</v>
          </cell>
          <cell r="AE472">
            <v>331.91400000000004</v>
          </cell>
        </row>
        <row r="473">
          <cell r="Z473">
            <v>377266.14799999993</v>
          </cell>
          <cell r="AA473">
            <v>376604.61</v>
          </cell>
          <cell r="AD473">
            <v>1.6035170542255007E-3</v>
          </cell>
          <cell r="AE473">
            <v>874.21399999999994</v>
          </cell>
        </row>
        <row r="474">
          <cell r="Z474">
            <v>465701.50800000003</v>
          </cell>
          <cell r="AA474">
            <v>465559.93</v>
          </cell>
          <cell r="AD474">
            <v>5.8974519969059666E-4</v>
          </cell>
          <cell r="AE474">
            <v>1283.8259999999998</v>
          </cell>
        </row>
        <row r="475">
          <cell r="Z475">
            <v>481372.522</v>
          </cell>
          <cell r="AA475">
            <v>478750.47</v>
          </cell>
          <cell r="AD475">
            <v>1.2179936005028726E-2</v>
          </cell>
          <cell r="AE475">
            <v>1901.7519999999997</v>
          </cell>
        </row>
        <row r="476">
          <cell r="Z476">
            <v>556242.7840000001</v>
          </cell>
          <cell r="AA476">
            <v>554511.74</v>
          </cell>
          <cell r="AD476">
            <v>2.8437560620423624E-3</v>
          </cell>
          <cell r="AE476">
            <v>1710.97</v>
          </cell>
        </row>
        <row r="477">
          <cell r="Z477">
            <v>624634.85600000003</v>
          </cell>
          <cell r="AA477">
            <v>622083.81000000006</v>
          </cell>
          <cell r="AD477">
            <v>2.9544296495822493E-3</v>
          </cell>
          <cell r="AE477">
            <v>2909.3020000000006</v>
          </cell>
        </row>
        <row r="479">
          <cell r="Z479">
            <v>101388.56</v>
          </cell>
          <cell r="AA479">
            <v>101388.56</v>
          </cell>
          <cell r="AD479">
            <v>0</v>
          </cell>
          <cell r="AE479">
            <v>23.794</v>
          </cell>
        </row>
        <row r="480">
          <cell r="Z480">
            <v>166514.93</v>
          </cell>
          <cell r="AA480">
            <v>166514.93</v>
          </cell>
          <cell r="AD480">
            <v>0</v>
          </cell>
          <cell r="AE480">
            <v>38.106000000000002</v>
          </cell>
        </row>
        <row r="481">
          <cell r="Z481">
            <v>175354.92</v>
          </cell>
          <cell r="AA481">
            <v>175354.92</v>
          </cell>
          <cell r="AD481">
            <v>0</v>
          </cell>
          <cell r="AE481">
            <v>53.179999999999993</v>
          </cell>
        </row>
        <row r="482">
          <cell r="Z482">
            <v>225003.64800000004</v>
          </cell>
          <cell r="AA482">
            <v>224908.14</v>
          </cell>
          <cell r="AD482">
            <v>7.797134427236787E-4</v>
          </cell>
          <cell r="AE482">
            <v>72.756</v>
          </cell>
        </row>
        <row r="483">
          <cell r="Z483">
            <v>232150.1</v>
          </cell>
          <cell r="AA483">
            <v>232150.1</v>
          </cell>
          <cell r="AD483">
            <v>0</v>
          </cell>
          <cell r="AE483">
            <v>73.515999999999991</v>
          </cell>
        </row>
        <row r="484">
          <cell r="Z484">
            <v>284690.65000000002</v>
          </cell>
          <cell r="AA484">
            <v>284690.65000000002</v>
          </cell>
          <cell r="AD484">
            <v>0</v>
          </cell>
          <cell r="AE484">
            <v>91.213999999999999</v>
          </cell>
        </row>
        <row r="485">
          <cell r="Z485">
            <v>292330.02</v>
          </cell>
          <cell r="AA485">
            <v>292330.02</v>
          </cell>
          <cell r="AD485">
            <v>0</v>
          </cell>
          <cell r="AE485">
            <v>121.13399999999999</v>
          </cell>
        </row>
        <row r="486">
          <cell r="Z486">
            <v>319188.78999999998</v>
          </cell>
          <cell r="AA486">
            <v>319188.78999999998</v>
          </cell>
          <cell r="AD486">
            <v>0</v>
          </cell>
          <cell r="AE486">
            <v>124.97800000000002</v>
          </cell>
        </row>
        <row r="487">
          <cell r="Z487">
            <v>349683.52</v>
          </cell>
          <cell r="AA487">
            <v>349683.52</v>
          </cell>
          <cell r="AD487">
            <v>0</v>
          </cell>
          <cell r="AE487">
            <v>176.23</v>
          </cell>
        </row>
        <row r="488">
          <cell r="Z488">
            <v>378378.25000000006</v>
          </cell>
          <cell r="AA488">
            <v>377616.82</v>
          </cell>
          <cell r="AD488">
            <v>1.7269233421397007E-3</v>
          </cell>
          <cell r="AE488">
            <v>148.31199999999998</v>
          </cell>
        </row>
        <row r="490">
          <cell r="Z490">
            <v>150498.96</v>
          </cell>
          <cell r="AA490">
            <v>150498.96</v>
          </cell>
          <cell r="AD490">
            <v>0</v>
          </cell>
          <cell r="AE490">
            <v>55.676000000000002</v>
          </cell>
        </row>
        <row r="491">
          <cell r="Z491">
            <v>239055.06</v>
          </cell>
          <cell r="AA491">
            <v>239055.06</v>
          </cell>
          <cell r="AD491">
            <v>0</v>
          </cell>
          <cell r="AE491">
            <v>94.701999999999998</v>
          </cell>
        </row>
        <row r="492">
          <cell r="Z492">
            <v>236739.64799999999</v>
          </cell>
          <cell r="AA492">
            <v>236320.19</v>
          </cell>
          <cell r="AD492">
            <v>2.1982143098265051E-3</v>
          </cell>
          <cell r="AE492">
            <v>86.655999999999992</v>
          </cell>
        </row>
        <row r="493">
          <cell r="Z493">
            <v>304129.91800000001</v>
          </cell>
          <cell r="AA493">
            <v>303922.32</v>
          </cell>
          <cell r="AD493">
            <v>1.5263320460073815E-3</v>
          </cell>
          <cell r="AE493">
            <v>124.41</v>
          </cell>
        </row>
        <row r="494">
          <cell r="Z494">
            <v>319299.47000000003</v>
          </cell>
          <cell r="AA494">
            <v>318948.78000000003</v>
          </cell>
          <cell r="AD494">
            <v>1.1393573124394401E-3</v>
          </cell>
          <cell r="AE494">
            <v>129.142</v>
          </cell>
        </row>
        <row r="495">
          <cell r="Z495">
            <v>378384.50800000003</v>
          </cell>
          <cell r="AA495">
            <v>377118.53</v>
          </cell>
          <cell r="AD495">
            <v>2.2665142744939123E-3</v>
          </cell>
          <cell r="AE495">
            <v>231.81</v>
          </cell>
        </row>
        <row r="496">
          <cell r="Z496">
            <v>390899.32</v>
          </cell>
          <cell r="AA496">
            <v>390658.81</v>
          </cell>
          <cell r="AD496">
            <v>9.2999080377136555E-4</v>
          </cell>
          <cell r="AE496">
            <v>301.88</v>
          </cell>
        </row>
        <row r="497">
          <cell r="Z497">
            <v>420571.66600000003</v>
          </cell>
          <cell r="AA497">
            <v>418730.33</v>
          </cell>
          <cell r="AD497">
            <v>2.5828597170197251E-3</v>
          </cell>
          <cell r="AE497">
            <v>325.07799999999997</v>
          </cell>
        </row>
        <row r="498">
          <cell r="Z498">
            <v>463113.06799999997</v>
          </cell>
          <cell r="AA498">
            <v>462428.8</v>
          </cell>
          <cell r="AD498">
            <v>1.7635916798236814E-3</v>
          </cell>
          <cell r="AE498">
            <v>388.87</v>
          </cell>
        </row>
        <row r="499">
          <cell r="Z499">
            <v>496251.02</v>
          </cell>
          <cell r="AA499">
            <v>494681.64</v>
          </cell>
          <cell r="AD499">
            <v>3.0733028732453484E-3</v>
          </cell>
          <cell r="AE499">
            <v>428.14</v>
          </cell>
        </row>
        <row r="501">
          <cell r="Z501" t="str">
            <v>Infeasible</v>
          </cell>
          <cell r="AA501" t="str">
            <v>-</v>
          </cell>
          <cell r="AD501" t="str">
            <v>-</v>
          </cell>
          <cell r="AE501">
            <v>34.734000000000002</v>
          </cell>
        </row>
        <row r="502">
          <cell r="Z502" t="str">
            <v>Infeasible</v>
          </cell>
          <cell r="AA502" t="str">
            <v>-</v>
          </cell>
          <cell r="AD502" t="str">
            <v>-</v>
          </cell>
          <cell r="AE502">
            <v>66.304000000000002</v>
          </cell>
        </row>
        <row r="503">
          <cell r="Z503">
            <v>286876.81</v>
          </cell>
          <cell r="AA503">
            <v>286876.81</v>
          </cell>
          <cell r="AD503">
            <v>0</v>
          </cell>
          <cell r="AE503">
            <v>165.69</v>
          </cell>
        </row>
        <row r="504">
          <cell r="Z504">
            <v>373597.66600000003</v>
          </cell>
          <cell r="AA504">
            <v>373098.27</v>
          </cell>
          <cell r="AD504">
            <v>7.5418885066503574E-4</v>
          </cell>
          <cell r="AE504">
            <v>247.946</v>
          </cell>
        </row>
        <row r="505">
          <cell r="Z505">
            <v>391859.02600000001</v>
          </cell>
          <cell r="AA505">
            <v>391550.76</v>
          </cell>
          <cell r="AD505">
            <v>1.0797379101287171E-3</v>
          </cell>
          <cell r="AE505">
            <v>296.65199999999993</v>
          </cell>
        </row>
        <row r="506">
          <cell r="Z506">
            <v>457438.60599999997</v>
          </cell>
          <cell r="AA506">
            <v>456476.13</v>
          </cell>
          <cell r="AD506">
            <v>1.2546175105208571E-3</v>
          </cell>
          <cell r="AE506">
            <v>441.48</v>
          </cell>
        </row>
        <row r="507">
          <cell r="Z507">
            <v>470857.69399999996</v>
          </cell>
          <cell r="AA507">
            <v>469985.85</v>
          </cell>
          <cell r="AD507">
            <v>2.4986652354055815E-3</v>
          </cell>
          <cell r="AE507">
            <v>677.47199999999998</v>
          </cell>
        </row>
        <row r="508">
          <cell r="Z508">
            <v>500790.9</v>
          </cell>
          <cell r="AA508">
            <v>499656.79</v>
          </cell>
          <cell r="AD508">
            <v>1.5807823943344971E-3</v>
          </cell>
          <cell r="AE508">
            <v>1488.2139999999999</v>
          </cell>
        </row>
        <row r="509">
          <cell r="Z509">
            <v>554270.80000000005</v>
          </cell>
          <cell r="AA509">
            <v>552901.18000000005</v>
          </cell>
          <cell r="AD509">
            <v>3.0466833376354319E-3</v>
          </cell>
          <cell r="AE509">
            <v>1801.3619999999999</v>
          </cell>
        </row>
        <row r="510">
          <cell r="Z510">
            <v>590625.73599999992</v>
          </cell>
          <cell r="AA510">
            <v>586982.19999999995</v>
          </cell>
          <cell r="AD510">
            <v>4.1881971155026633E-3</v>
          </cell>
          <cell r="AE510">
            <v>2185.8360000000002</v>
          </cell>
        </row>
        <row r="512">
          <cell r="Z512">
            <v>396682.83399999997</v>
          </cell>
          <cell r="AA512">
            <v>393596.26</v>
          </cell>
          <cell r="AD512">
            <v>7.8520323396107979E-3</v>
          </cell>
          <cell r="AE512">
            <v>263.07799999999997</v>
          </cell>
        </row>
        <row r="513">
          <cell r="Z513">
            <v>529802.01799999992</v>
          </cell>
          <cell r="AA513">
            <v>528282.39</v>
          </cell>
          <cell r="AD513">
            <v>2.0624894972766233E-3</v>
          </cell>
          <cell r="AE513">
            <v>674.71600000000001</v>
          </cell>
        </row>
        <row r="514">
          <cell r="Z514">
            <v>627638.14199999999</v>
          </cell>
          <cell r="AA514">
            <v>610607.38</v>
          </cell>
          <cell r="AD514">
            <v>1.528141901946182E-2</v>
          </cell>
          <cell r="AE514">
            <v>2684.2539999999999</v>
          </cell>
        </row>
      </sheetData>
      <sheetData sheetId="8">
        <row r="6">
          <cell r="F6">
            <v>55302.6466735012</v>
          </cell>
          <cell r="G6">
            <v>108.84</v>
          </cell>
        </row>
        <row r="7">
          <cell r="F7">
            <v>85320.092578363197</v>
          </cell>
          <cell r="G7">
            <v>415.06</v>
          </cell>
        </row>
        <row r="8">
          <cell r="F8">
            <v>120935.91557553499</v>
          </cell>
          <cell r="G8">
            <v>3666.4</v>
          </cell>
          <cell r="H8">
            <v>13.928651381494999</v>
          </cell>
        </row>
        <row r="9">
          <cell r="F9">
            <v>133173.04800000001</v>
          </cell>
          <cell r="G9">
            <v>3694.59</v>
          </cell>
          <cell r="H9">
            <v>16.976439861027298</v>
          </cell>
        </row>
        <row r="10">
          <cell r="F10">
            <v>164821.16249328299</v>
          </cell>
          <cell r="G10">
            <v>3758.42</v>
          </cell>
          <cell r="H10">
            <v>21.1014656457371</v>
          </cell>
        </row>
        <row r="11">
          <cell r="F11">
            <v>178132.95248459399</v>
          </cell>
          <cell r="G11">
            <v>3797.76</v>
          </cell>
          <cell r="H11">
            <v>16.530330178160298</v>
          </cell>
        </row>
        <row r="12">
          <cell r="F12">
            <v>214372.16984966301</v>
          </cell>
          <cell r="G12">
            <v>3903.69</v>
          </cell>
          <cell r="H12">
            <v>18.511181628424801</v>
          </cell>
        </row>
        <row r="13">
          <cell r="F13">
            <v>262512.720014558</v>
          </cell>
          <cell r="G13">
            <v>4072.79</v>
          </cell>
          <cell r="H13">
            <v>23.390782404696001</v>
          </cell>
        </row>
        <row r="14">
          <cell r="F14">
            <v>285636.86426498299</v>
          </cell>
          <cell r="G14">
            <v>4182.28</v>
          </cell>
          <cell r="H14">
            <v>25.684681887752799</v>
          </cell>
        </row>
        <row r="17">
          <cell r="F17">
            <v>67976.171444987602</v>
          </cell>
          <cell r="G17">
            <v>161.4</v>
          </cell>
        </row>
        <row r="18">
          <cell r="F18">
            <v>105663.850200015</v>
          </cell>
          <cell r="G18">
            <v>2932.73</v>
          </cell>
        </row>
        <row r="19">
          <cell r="F19">
            <v>162408.429524893</v>
          </cell>
          <cell r="G19">
            <v>3664.65</v>
          </cell>
          <cell r="H19">
            <v>27.9566993987603</v>
          </cell>
        </row>
        <row r="20">
          <cell r="F20">
            <v>193407.97375</v>
          </cell>
          <cell r="G20">
            <v>3695.09</v>
          </cell>
          <cell r="H20">
            <v>30.805349460869699</v>
          </cell>
        </row>
        <row r="21">
          <cell r="F21" t="str">
            <v>Infeasible</v>
          </cell>
          <cell r="G21">
            <v>3756.53</v>
          </cell>
        </row>
        <row r="22">
          <cell r="F22" t="str">
            <v>Infeasible</v>
          </cell>
          <cell r="G22">
            <v>3796.11</v>
          </cell>
        </row>
        <row r="23">
          <cell r="F23" t="str">
            <v>Infeasible</v>
          </cell>
          <cell r="G23">
            <v>3906.95</v>
          </cell>
        </row>
        <row r="28">
          <cell r="F28">
            <v>75890.497400002598</v>
          </cell>
          <cell r="G28">
            <v>229.14</v>
          </cell>
        </row>
        <row r="29">
          <cell r="F29">
            <v>134370.704949999</v>
          </cell>
          <cell r="G29">
            <v>3629.96</v>
          </cell>
          <cell r="H29">
            <v>24.796743424207101</v>
          </cell>
        </row>
        <row r="30">
          <cell r="F30">
            <v>203433.52937499099</v>
          </cell>
          <cell r="G30">
            <v>3665.27</v>
          </cell>
          <cell r="H30">
            <v>38.374811186720699</v>
          </cell>
        </row>
        <row r="31">
          <cell r="F31" t="str">
            <v>Infeasible</v>
          </cell>
          <cell r="G31">
            <v>3716.9</v>
          </cell>
        </row>
        <row r="32">
          <cell r="F32" t="str">
            <v>Infeasible</v>
          </cell>
          <cell r="G32">
            <v>3756.26</v>
          </cell>
        </row>
        <row r="33">
          <cell r="F33" t="str">
            <v>Infeasible</v>
          </cell>
          <cell r="G33">
            <v>3835.8</v>
          </cell>
        </row>
        <row r="39">
          <cell r="F39">
            <v>49863.491999999998</v>
          </cell>
          <cell r="G39">
            <v>23.73</v>
          </cell>
        </row>
        <row r="40">
          <cell r="F40">
            <v>90444.754678114594</v>
          </cell>
          <cell r="G40">
            <v>186.81</v>
          </cell>
        </row>
        <row r="41">
          <cell r="F41">
            <v>114451.811999999</v>
          </cell>
          <cell r="G41">
            <v>210.77</v>
          </cell>
        </row>
        <row r="42">
          <cell r="F42">
            <v>142408.72438350701</v>
          </cell>
          <cell r="G42">
            <v>3697.67</v>
          </cell>
          <cell r="H42">
            <v>4.1273144722666899</v>
          </cell>
        </row>
        <row r="43">
          <cell r="F43">
            <v>168646.34375563599</v>
          </cell>
          <cell r="G43">
            <v>3756.33</v>
          </cell>
          <cell r="H43">
            <v>13.2123267386701</v>
          </cell>
        </row>
        <row r="44">
          <cell r="F44">
            <v>183776.27853184901</v>
          </cell>
          <cell r="G44">
            <v>3797.29</v>
          </cell>
          <cell r="H44">
            <v>10.209965643453801</v>
          </cell>
        </row>
        <row r="45">
          <cell r="F45">
            <v>221993.07545613</v>
          </cell>
          <cell r="G45">
            <v>3929.93</v>
          </cell>
          <cell r="H45">
            <v>18.196758464328799</v>
          </cell>
        </row>
        <row r="46">
          <cell r="F46">
            <v>267012.01133645</v>
          </cell>
          <cell r="G46">
            <v>4075.54</v>
          </cell>
          <cell r="H46">
            <v>24.5119401730779</v>
          </cell>
        </row>
        <row r="47">
          <cell r="F47">
            <v>302979.29908499698</v>
          </cell>
          <cell r="G47">
            <v>4184.96</v>
          </cell>
          <cell r="H47">
            <v>27.643040691380499</v>
          </cell>
        </row>
        <row r="50">
          <cell r="F50">
            <v>64370.666749999997</v>
          </cell>
          <cell r="G50">
            <v>45.38</v>
          </cell>
        </row>
        <row r="51">
          <cell r="F51">
            <v>118922.131925223</v>
          </cell>
          <cell r="G51">
            <v>2995.84</v>
          </cell>
        </row>
        <row r="52">
          <cell r="F52">
            <v>189389.51324999501</v>
          </cell>
          <cell r="G52">
            <v>3642.84</v>
          </cell>
          <cell r="H52">
            <v>32.479159172547902</v>
          </cell>
        </row>
        <row r="53">
          <cell r="F53">
            <v>199127.461500003</v>
          </cell>
          <cell r="G53">
            <v>3698.57</v>
          </cell>
          <cell r="H53">
            <v>22.081176102373199</v>
          </cell>
        </row>
        <row r="54">
          <cell r="F54" t="str">
            <v>Infeasible</v>
          </cell>
          <cell r="G54">
            <v>3754.65</v>
          </cell>
        </row>
        <row r="55">
          <cell r="F55" t="str">
            <v>Infeasible</v>
          </cell>
          <cell r="G55">
            <v>3796.05</v>
          </cell>
        </row>
        <row r="61">
          <cell r="F61" t="str">
            <v>Infeasible</v>
          </cell>
          <cell r="G61">
            <v>3614.99</v>
          </cell>
        </row>
        <row r="62">
          <cell r="F62" t="str">
            <v>Infeasible</v>
          </cell>
          <cell r="G62">
            <v>3630.61</v>
          </cell>
        </row>
        <row r="63">
          <cell r="F63" t="str">
            <v>Infeasible</v>
          </cell>
          <cell r="G63">
            <v>3642.51</v>
          </cell>
        </row>
        <row r="64">
          <cell r="F64" t="str">
            <v>Infeasible</v>
          </cell>
          <cell r="G64">
            <v>3718.26</v>
          </cell>
        </row>
        <row r="65">
          <cell r="F65" t="str">
            <v>Infeasible</v>
          </cell>
          <cell r="G65">
            <v>3784.5</v>
          </cell>
        </row>
        <row r="66">
          <cell r="F66" t="str">
            <v>Infeasible</v>
          </cell>
          <cell r="G66">
            <v>3840.81</v>
          </cell>
        </row>
        <row r="72">
          <cell r="F72">
            <v>48507.24</v>
          </cell>
          <cell r="G72">
            <v>19.059999999999999</v>
          </cell>
        </row>
        <row r="73">
          <cell r="F73">
            <v>77262.305828395794</v>
          </cell>
          <cell r="G73">
            <v>233.76</v>
          </cell>
        </row>
        <row r="74">
          <cell r="F74">
            <v>113592.250374633</v>
          </cell>
          <cell r="G74">
            <v>2746.63</v>
          </cell>
        </row>
        <row r="75">
          <cell r="F75">
            <v>139754.912594728</v>
          </cell>
          <cell r="G75">
            <v>3699.51</v>
          </cell>
          <cell r="H75">
            <v>16.661784556207699</v>
          </cell>
        </row>
        <row r="76">
          <cell r="F76">
            <v>162792.08845308301</v>
          </cell>
          <cell r="G76">
            <v>3748.38</v>
          </cell>
          <cell r="H76">
            <v>21.930352069401899</v>
          </cell>
        </row>
        <row r="77">
          <cell r="F77">
            <v>176500.54782913</v>
          </cell>
          <cell r="G77">
            <v>3809.29</v>
          </cell>
          <cell r="H77">
            <v>21.0090165574405</v>
          </cell>
        </row>
        <row r="78">
          <cell r="F78">
            <v>214572.647822656</v>
          </cell>
          <cell r="G78">
            <v>3941.51</v>
          </cell>
          <cell r="H78">
            <v>23.693733417831499</v>
          </cell>
        </row>
        <row r="79">
          <cell r="F79">
            <v>251565.047820281</v>
          </cell>
          <cell r="G79">
            <v>4032.86</v>
          </cell>
          <cell r="H79">
            <v>27.9119200067835</v>
          </cell>
        </row>
        <row r="80">
          <cell r="F80">
            <v>284990.5</v>
          </cell>
          <cell r="G80">
            <v>4177.87</v>
          </cell>
          <cell r="H80">
            <v>26.554577517562599</v>
          </cell>
        </row>
        <row r="83">
          <cell r="F83">
            <v>61871.4119990033</v>
          </cell>
          <cell r="G83">
            <v>23.69</v>
          </cell>
        </row>
        <row r="84">
          <cell r="F84">
            <v>112117.080100812</v>
          </cell>
          <cell r="G84">
            <v>3625.04</v>
          </cell>
          <cell r="H84">
            <v>31.783867265626998</v>
          </cell>
        </row>
        <row r="85">
          <cell r="F85">
            <v>181619.020877673</v>
          </cell>
          <cell r="G85">
            <v>3659.61</v>
          </cell>
          <cell r="H85">
            <v>28.448539506389601</v>
          </cell>
        </row>
        <row r="86">
          <cell r="F86">
            <v>214700.424694999</v>
          </cell>
          <cell r="G86">
            <v>3698.23</v>
          </cell>
          <cell r="H86">
            <v>34.334186917640103</v>
          </cell>
        </row>
        <row r="87">
          <cell r="F87" t="str">
            <v>Infeasible</v>
          </cell>
          <cell r="G87">
            <v>3801.58</v>
          </cell>
        </row>
        <row r="88">
          <cell r="F88" t="str">
            <v>Infeasible</v>
          </cell>
          <cell r="G88">
            <v>3808.97</v>
          </cell>
        </row>
        <row r="94">
          <cell r="F94" t="str">
            <v>Infeasible</v>
          </cell>
          <cell r="G94">
            <v>3614.75</v>
          </cell>
        </row>
        <row r="95">
          <cell r="F95">
            <v>137015.33397936201</v>
          </cell>
          <cell r="G95">
            <v>2789.26</v>
          </cell>
        </row>
        <row r="96">
          <cell r="F96" t="str">
            <v>Infeasible</v>
          </cell>
          <cell r="G96">
            <v>3658.55</v>
          </cell>
        </row>
        <row r="97">
          <cell r="F97" t="str">
            <v>Infeasible</v>
          </cell>
          <cell r="G97">
            <v>3718.65</v>
          </cell>
        </row>
        <row r="98">
          <cell r="F98" t="str">
            <v>Infeasible</v>
          </cell>
          <cell r="G98">
            <v>3759.29</v>
          </cell>
        </row>
        <row r="99">
          <cell r="F99" t="str">
            <v>Infeasible</v>
          </cell>
          <cell r="G99">
            <v>3853.26</v>
          </cell>
        </row>
        <row r="105">
          <cell r="F105">
            <v>68270.771999999997</v>
          </cell>
          <cell r="G105">
            <v>136.31</v>
          </cell>
        </row>
        <row r="106">
          <cell r="F106">
            <v>84664.823999999993</v>
          </cell>
          <cell r="G106">
            <v>78.08</v>
          </cell>
        </row>
        <row r="107">
          <cell r="F107">
            <v>134054.82298183601</v>
          </cell>
          <cell r="G107">
            <v>926.69</v>
          </cell>
        </row>
        <row r="108">
          <cell r="F108">
            <v>163692.44399999999</v>
          </cell>
          <cell r="G108">
            <v>3706.02</v>
          </cell>
          <cell r="H108">
            <v>11.279933042695999</v>
          </cell>
        </row>
        <row r="109">
          <cell r="F109">
            <v>179503.44</v>
          </cell>
          <cell r="G109">
            <v>3743.89</v>
          </cell>
          <cell r="H109">
            <v>13.0891073914517</v>
          </cell>
        </row>
        <row r="110">
          <cell r="F110">
            <v>209837.07599999901</v>
          </cell>
          <cell r="G110">
            <v>3815.57</v>
          </cell>
          <cell r="H110">
            <v>18.4741935184982</v>
          </cell>
        </row>
        <row r="111">
          <cell r="F111">
            <v>236757.08404947899</v>
          </cell>
          <cell r="G111">
            <v>3913.12</v>
          </cell>
          <cell r="H111">
            <v>18.454718469046501</v>
          </cell>
        </row>
        <row r="112">
          <cell r="F112">
            <v>256146.576</v>
          </cell>
          <cell r="G112">
            <v>4005.44</v>
          </cell>
          <cell r="H112">
            <v>23.133138560076802</v>
          </cell>
        </row>
        <row r="113">
          <cell r="F113">
            <v>300574.95600000001</v>
          </cell>
          <cell r="G113">
            <v>4188.51</v>
          </cell>
          <cell r="H113">
            <v>26.214824618302998</v>
          </cell>
        </row>
        <row r="116">
          <cell r="F116">
            <v>87769.845499999705</v>
          </cell>
          <cell r="G116">
            <v>598.79999999999995</v>
          </cell>
        </row>
        <row r="117">
          <cell r="F117">
            <v>104067.1795</v>
          </cell>
          <cell r="G117">
            <v>92.72</v>
          </cell>
        </row>
        <row r="118">
          <cell r="F118">
            <v>182785.59899998401</v>
          </cell>
          <cell r="G118">
            <v>3644.61</v>
          </cell>
          <cell r="H118">
            <v>21.3381315434446</v>
          </cell>
        </row>
        <row r="119">
          <cell r="F119">
            <v>238274.43513989699</v>
          </cell>
          <cell r="G119">
            <v>3705.47</v>
          </cell>
          <cell r="H119">
            <v>28.643908616967899</v>
          </cell>
        </row>
        <row r="120">
          <cell r="F120" t="str">
            <v>Infeasible</v>
          </cell>
          <cell r="G120">
            <v>3736.72</v>
          </cell>
        </row>
        <row r="121">
          <cell r="F121" t="str">
            <v>Infeasible</v>
          </cell>
          <cell r="G121">
            <v>3812.51</v>
          </cell>
        </row>
        <row r="127">
          <cell r="F127">
            <v>140941.116121864</v>
          </cell>
          <cell r="G127">
            <v>1363.22</v>
          </cell>
        </row>
        <row r="128">
          <cell r="F128">
            <v>125962.46895890401</v>
          </cell>
          <cell r="G128">
            <v>138.80000000000001</v>
          </cell>
        </row>
        <row r="129">
          <cell r="F129" t="str">
            <v>Infeasible</v>
          </cell>
          <cell r="G129">
            <v>3652</v>
          </cell>
        </row>
        <row r="130">
          <cell r="F130" t="str">
            <v>Infeasible</v>
          </cell>
          <cell r="G130">
            <v>3703.83</v>
          </cell>
        </row>
        <row r="131">
          <cell r="F131" t="str">
            <v>Infeasible</v>
          </cell>
          <cell r="G131">
            <v>3762.15</v>
          </cell>
        </row>
        <row r="132">
          <cell r="F132" t="str">
            <v>Infeasible</v>
          </cell>
          <cell r="G132">
            <v>3851.48</v>
          </cell>
        </row>
        <row r="138">
          <cell r="F138">
            <v>75693.7198250324</v>
          </cell>
          <cell r="G138">
            <v>130.54</v>
          </cell>
        </row>
        <row r="139">
          <cell r="F139">
            <v>116220.38017038599</v>
          </cell>
          <cell r="G139">
            <v>766.38</v>
          </cell>
        </row>
        <row r="140">
          <cell r="F140">
            <v>148230.119749998</v>
          </cell>
          <cell r="G140">
            <v>3654.34</v>
          </cell>
          <cell r="H140">
            <v>9.4918803935443599</v>
          </cell>
        </row>
        <row r="141">
          <cell r="F141">
            <v>165141.75393238201</v>
          </cell>
          <cell r="G141">
            <v>3710.51</v>
          </cell>
          <cell r="H141">
            <v>15.1996447504487</v>
          </cell>
        </row>
        <row r="142">
          <cell r="F142">
            <v>197614.30788381299</v>
          </cell>
          <cell r="G142">
            <v>3745.39</v>
          </cell>
          <cell r="H142">
            <v>16.974216187100801</v>
          </cell>
        </row>
        <row r="143">
          <cell r="F143">
            <v>230962.535999999</v>
          </cell>
          <cell r="G143">
            <v>3849.01</v>
          </cell>
          <cell r="H143">
            <v>19.471355919742599</v>
          </cell>
        </row>
        <row r="144">
          <cell r="F144">
            <v>233584.11068248301</v>
          </cell>
          <cell r="G144">
            <v>3915.37</v>
          </cell>
          <cell r="H144">
            <v>14.348450774317</v>
          </cell>
        </row>
        <row r="145">
          <cell r="F145">
            <v>260325.095999999</v>
          </cell>
          <cell r="G145">
            <v>3589.53</v>
          </cell>
          <cell r="H145">
            <v>18.5802602821576</v>
          </cell>
        </row>
        <row r="146">
          <cell r="F146">
            <v>298488.93559347099</v>
          </cell>
          <cell r="G146">
            <v>4213.93</v>
          </cell>
          <cell r="H146">
            <v>25.150943332804999</v>
          </cell>
        </row>
        <row r="149">
          <cell r="F149">
            <v>94788.780150025093</v>
          </cell>
          <cell r="G149">
            <v>137.6</v>
          </cell>
        </row>
        <row r="150">
          <cell r="F150">
            <v>154936.74315000701</v>
          </cell>
          <cell r="G150">
            <v>3628.97</v>
          </cell>
          <cell r="H150">
            <v>17.914069043621801</v>
          </cell>
        </row>
        <row r="151">
          <cell r="F151">
            <v>219207.69166988699</v>
          </cell>
          <cell r="G151">
            <v>3647.87</v>
          </cell>
          <cell r="H151">
            <v>33.121650998960298</v>
          </cell>
        </row>
        <row r="152">
          <cell r="F152">
            <v>218351.757728116</v>
          </cell>
          <cell r="G152">
            <v>3709.45</v>
          </cell>
          <cell r="H152">
            <v>21.538727285329799</v>
          </cell>
        </row>
        <row r="153">
          <cell r="F153" t="str">
            <v>Infeasible</v>
          </cell>
          <cell r="G153">
            <v>3772.47</v>
          </cell>
        </row>
        <row r="154">
          <cell r="F154" t="str">
            <v>Infeasible</v>
          </cell>
          <cell r="G154">
            <v>3846.17</v>
          </cell>
        </row>
        <row r="160">
          <cell r="F160" t="str">
            <v>Infeasible</v>
          </cell>
          <cell r="G160">
            <v>3617.31</v>
          </cell>
        </row>
        <row r="161">
          <cell r="F161" t="str">
            <v>Infeasible</v>
          </cell>
          <cell r="G161">
            <v>3629.23</v>
          </cell>
        </row>
        <row r="162">
          <cell r="F162">
            <v>247019.57122999901</v>
          </cell>
          <cell r="G162">
            <v>3662.94</v>
          </cell>
          <cell r="H162">
            <v>35.394876407203299</v>
          </cell>
        </row>
        <row r="163">
          <cell r="F163" t="str">
            <v>Infeasible</v>
          </cell>
          <cell r="G163">
            <v>3708.25</v>
          </cell>
        </row>
        <row r="164">
          <cell r="F164" t="str">
            <v>Infeasible</v>
          </cell>
          <cell r="G164">
            <v>3772.61</v>
          </cell>
        </row>
        <row r="165">
          <cell r="F165" t="str">
            <v>Infeasible</v>
          </cell>
          <cell r="G165">
            <v>3890.08</v>
          </cell>
        </row>
        <row r="175">
          <cell r="F175">
            <v>66252.527999999904</v>
          </cell>
          <cell r="G175">
            <v>323.48</v>
          </cell>
        </row>
        <row r="176">
          <cell r="F176">
            <v>107812.584</v>
          </cell>
          <cell r="G176">
            <v>754.13</v>
          </cell>
        </row>
        <row r="177">
          <cell r="F177">
            <v>162547.49940205601</v>
          </cell>
          <cell r="G177">
            <v>3709.13</v>
          </cell>
          <cell r="H177">
            <v>32.059738175629498</v>
          </cell>
        </row>
        <row r="178">
          <cell r="F178">
            <v>182244.85538369301</v>
          </cell>
          <cell r="G178">
            <v>3752.69</v>
          </cell>
          <cell r="H178">
            <v>50.334592220652397</v>
          </cell>
        </row>
        <row r="179">
          <cell r="F179" t="str">
            <v>Infeasible</v>
          </cell>
          <cell r="G179">
            <v>3846.33</v>
          </cell>
        </row>
        <row r="180">
          <cell r="F180" t="str">
            <v>Infeasible</v>
          </cell>
          <cell r="G180">
            <v>3907.41</v>
          </cell>
        </row>
        <row r="183">
          <cell r="F183">
            <v>82624.588250017405</v>
          </cell>
          <cell r="G183">
            <v>1453.72</v>
          </cell>
        </row>
        <row r="184">
          <cell r="F184">
            <v>169057.68532509799</v>
          </cell>
          <cell r="G184">
            <v>3661.22</v>
          </cell>
          <cell r="H184">
            <v>58.256862274365801</v>
          </cell>
        </row>
        <row r="185">
          <cell r="F185" t="str">
            <v>Infeasible</v>
          </cell>
          <cell r="G185">
            <v>3707.69</v>
          </cell>
        </row>
        <row r="186">
          <cell r="F186" t="str">
            <v>Infeasible</v>
          </cell>
          <cell r="G186">
            <v>3754.78</v>
          </cell>
        </row>
        <row r="187">
          <cell r="F187" t="str">
            <v>Infeasible</v>
          </cell>
          <cell r="G187">
            <v>3843.24</v>
          </cell>
        </row>
        <row r="191">
          <cell r="F191">
            <v>101426.65429999999</v>
          </cell>
          <cell r="G191">
            <v>3634.83</v>
          </cell>
          <cell r="H191">
            <v>39.462855894478501</v>
          </cell>
        </row>
        <row r="192">
          <cell r="F192">
            <v>175857.44594999999</v>
          </cell>
          <cell r="G192">
            <v>3661.27</v>
          </cell>
          <cell r="H192">
            <v>54.256961008257697</v>
          </cell>
        </row>
        <row r="193">
          <cell r="F193" t="str">
            <v>Infeasible</v>
          </cell>
          <cell r="G193">
            <v>3709.56</v>
          </cell>
        </row>
        <row r="194">
          <cell r="F194">
            <v>313085.88987498899</v>
          </cell>
          <cell r="G194">
            <v>3751.69</v>
          </cell>
          <cell r="H194">
            <v>63.794890171483999</v>
          </cell>
        </row>
        <row r="195">
          <cell r="F195" t="str">
            <v>Infeasible</v>
          </cell>
          <cell r="G195">
            <v>3842.72</v>
          </cell>
        </row>
        <row r="199">
          <cell r="F199">
            <v>57884.195389999899</v>
          </cell>
          <cell r="G199">
            <v>36.880000000000003</v>
          </cell>
        </row>
        <row r="200">
          <cell r="F200">
            <v>114366.31200000001</v>
          </cell>
          <cell r="G200">
            <v>761.03</v>
          </cell>
        </row>
        <row r="201">
          <cell r="F201">
            <v>135311.96399999899</v>
          </cell>
          <cell r="G201">
            <v>2993.66</v>
          </cell>
        </row>
        <row r="202">
          <cell r="F202">
            <v>187591.12742829599</v>
          </cell>
          <cell r="G202">
            <v>3748.68</v>
          </cell>
          <cell r="H202">
            <v>38.6000509387002</v>
          </cell>
        </row>
        <row r="203">
          <cell r="F203">
            <v>302302.08773134998</v>
          </cell>
          <cell r="G203">
            <v>3838.82</v>
          </cell>
          <cell r="H203">
            <v>58.780449491108598</v>
          </cell>
        </row>
        <row r="204">
          <cell r="F204" t="str">
            <v>Infeasible</v>
          </cell>
          <cell r="G204">
            <v>3908.18</v>
          </cell>
        </row>
        <row r="207">
          <cell r="F207">
            <v>82923.939499999993</v>
          </cell>
          <cell r="G207">
            <v>66.55</v>
          </cell>
        </row>
        <row r="208">
          <cell r="F208">
            <v>171178.410990865</v>
          </cell>
          <cell r="G208">
            <v>3641.76</v>
          </cell>
          <cell r="H208">
            <v>29.397938272205899</v>
          </cell>
        </row>
        <row r="209">
          <cell r="F209" t="str">
            <v>Infeasible</v>
          </cell>
          <cell r="G209">
            <v>3696.49</v>
          </cell>
        </row>
        <row r="210">
          <cell r="F210" t="str">
            <v>Infeasible</v>
          </cell>
          <cell r="G210">
            <v>3745.96</v>
          </cell>
        </row>
        <row r="211">
          <cell r="F211" t="str">
            <v>Infeasible</v>
          </cell>
          <cell r="G211">
            <v>3837.34</v>
          </cell>
        </row>
        <row r="215">
          <cell r="F215" t="str">
            <v>Infeasible</v>
          </cell>
          <cell r="G215">
            <v>3624.22</v>
          </cell>
        </row>
        <row r="216">
          <cell r="F216" t="str">
            <v>Infeasible</v>
          </cell>
          <cell r="G216">
            <v>3647.41</v>
          </cell>
        </row>
        <row r="217">
          <cell r="F217" t="str">
            <v>Infeasible</v>
          </cell>
          <cell r="G217">
            <v>3696.5</v>
          </cell>
        </row>
        <row r="218">
          <cell r="F218" t="str">
            <v>Infeasible</v>
          </cell>
          <cell r="G218">
            <v>3745.26</v>
          </cell>
        </row>
        <row r="219">
          <cell r="F219" t="str">
            <v>Infeasible</v>
          </cell>
          <cell r="G219">
            <v>3837.7</v>
          </cell>
        </row>
        <row r="223">
          <cell r="F223">
            <v>62091.683999999899</v>
          </cell>
          <cell r="G223">
            <v>31.53</v>
          </cell>
        </row>
        <row r="224">
          <cell r="F224">
            <v>106724.819999999</v>
          </cell>
          <cell r="G224">
            <v>683.19</v>
          </cell>
        </row>
        <row r="225">
          <cell r="F225">
            <v>140474.46</v>
          </cell>
          <cell r="G225">
            <v>1749.89</v>
          </cell>
        </row>
        <row r="226">
          <cell r="F226" t="str">
            <v>Infeasible</v>
          </cell>
          <cell r="G226">
            <v>3751.47</v>
          </cell>
        </row>
        <row r="227">
          <cell r="F227">
            <v>455663.576</v>
          </cell>
          <cell r="G227">
            <v>3840.16</v>
          </cell>
          <cell r="H227">
            <v>75.196815761845698</v>
          </cell>
        </row>
        <row r="228">
          <cell r="F228" t="str">
            <v>Infeasible</v>
          </cell>
          <cell r="G228">
            <v>3925</v>
          </cell>
        </row>
        <row r="231">
          <cell r="F231">
            <v>81002.427499999903</v>
          </cell>
          <cell r="G231">
            <v>38.42</v>
          </cell>
        </row>
        <row r="232">
          <cell r="F232">
            <v>148925.73499999</v>
          </cell>
          <cell r="G232">
            <v>3672.64</v>
          </cell>
          <cell r="H232">
            <v>25.776156504665298</v>
          </cell>
        </row>
        <row r="233">
          <cell r="F233">
            <v>230947.819935632</v>
          </cell>
          <cell r="G233">
            <v>3689.91</v>
          </cell>
          <cell r="H233">
            <v>50.911704045168896</v>
          </cell>
        </row>
        <row r="234">
          <cell r="F234" t="str">
            <v>Infeasible</v>
          </cell>
          <cell r="G234">
            <v>3750.32</v>
          </cell>
        </row>
        <row r="235">
          <cell r="F235" t="str">
            <v>Infeasible</v>
          </cell>
          <cell r="G235">
            <v>3840.59</v>
          </cell>
        </row>
        <row r="239">
          <cell r="F239">
            <v>101863.24254999901</v>
          </cell>
          <cell r="G239">
            <v>56.37</v>
          </cell>
        </row>
        <row r="240">
          <cell r="F240">
            <v>213241.46199979199</v>
          </cell>
          <cell r="G240">
            <v>3638.8</v>
          </cell>
          <cell r="H240">
            <v>37.630724300471996</v>
          </cell>
        </row>
        <row r="241">
          <cell r="F241" t="str">
            <v>Infeasible</v>
          </cell>
          <cell r="G241">
            <v>3689.14</v>
          </cell>
        </row>
        <row r="242">
          <cell r="F242" t="str">
            <v>Infeasible</v>
          </cell>
          <cell r="G242">
            <v>3749.88</v>
          </cell>
        </row>
        <row r="243">
          <cell r="F243" t="str">
            <v>Infeasible</v>
          </cell>
          <cell r="G243">
            <v>3837.02</v>
          </cell>
        </row>
        <row r="247">
          <cell r="F247">
            <v>103982.22</v>
          </cell>
          <cell r="G247">
            <v>63.71</v>
          </cell>
        </row>
        <row r="248">
          <cell r="F248">
            <v>114277.151760451</v>
          </cell>
          <cell r="G248">
            <v>276.01</v>
          </cell>
        </row>
        <row r="249">
          <cell r="F249">
            <v>173841.003897624</v>
          </cell>
          <cell r="G249">
            <v>1318.29</v>
          </cell>
        </row>
        <row r="250">
          <cell r="F250">
            <v>217044.90805499899</v>
          </cell>
          <cell r="G250">
            <v>3734.34</v>
          </cell>
          <cell r="H250">
            <v>37.489683470390801</v>
          </cell>
        </row>
        <row r="251">
          <cell r="F251">
            <v>287857.54821999802</v>
          </cell>
          <cell r="G251">
            <v>3809.45</v>
          </cell>
          <cell r="H251">
            <v>41.052567918385897</v>
          </cell>
        </row>
        <row r="252">
          <cell r="F252">
            <v>265981.83610999997</v>
          </cell>
          <cell r="G252">
            <v>3931.71</v>
          </cell>
          <cell r="H252">
            <v>46.4553169483465</v>
          </cell>
        </row>
        <row r="253">
          <cell r="F253" t="str">
            <v>Infeasible</v>
          </cell>
          <cell r="G253">
            <v>4088.4297999999999</v>
          </cell>
        </row>
        <row r="255">
          <cell r="F255">
            <v>138374.396249999</v>
          </cell>
          <cell r="G255">
            <v>185.93</v>
          </cell>
        </row>
        <row r="256">
          <cell r="F256">
            <v>145193.07049999901</v>
          </cell>
          <cell r="G256">
            <v>2517.15</v>
          </cell>
        </row>
        <row r="257">
          <cell r="F257">
            <v>233230.59899998299</v>
          </cell>
          <cell r="G257">
            <v>3696.23</v>
          </cell>
          <cell r="H257">
            <v>6.9986731066544898</v>
          </cell>
        </row>
        <row r="258">
          <cell r="F258" t="str">
            <v>Infeasible</v>
          </cell>
          <cell r="G258">
            <v>3732.63</v>
          </cell>
        </row>
        <row r="259">
          <cell r="F259" t="str">
            <v>Infeasible</v>
          </cell>
          <cell r="G259">
            <v>3802.91</v>
          </cell>
        </row>
        <row r="263">
          <cell r="F263">
            <v>171236.473549991</v>
          </cell>
          <cell r="G263">
            <v>206.32</v>
          </cell>
        </row>
        <row r="264">
          <cell r="F264">
            <v>179141.15257319299</v>
          </cell>
          <cell r="G264">
            <v>2774.83</v>
          </cell>
        </row>
        <row r="265">
          <cell r="F265" t="str">
            <v>Infeasible</v>
          </cell>
          <cell r="G265">
            <v>3696.15</v>
          </cell>
        </row>
        <row r="266">
          <cell r="F266" t="str">
            <v>Infeasible</v>
          </cell>
          <cell r="G266">
            <v>3758.21</v>
          </cell>
        </row>
        <row r="267">
          <cell r="F267" t="str">
            <v>Infeasible</v>
          </cell>
          <cell r="G267">
            <v>3805.54</v>
          </cell>
        </row>
        <row r="271">
          <cell r="F271">
            <v>101388.564</v>
          </cell>
          <cell r="G271">
            <v>169.12</v>
          </cell>
        </row>
        <row r="272">
          <cell r="F272">
            <v>163685.075936451</v>
          </cell>
          <cell r="G272">
            <v>1790.85</v>
          </cell>
        </row>
        <row r="273">
          <cell r="F273">
            <v>193503.26399999901</v>
          </cell>
          <cell r="G273">
            <v>3709.78</v>
          </cell>
          <cell r="H273">
            <v>41.605342344068298</v>
          </cell>
        </row>
        <row r="274">
          <cell r="F274" t="str">
            <v>Infeasible</v>
          </cell>
          <cell r="G274">
            <v>3782.66</v>
          </cell>
        </row>
        <row r="275">
          <cell r="F275">
            <v>323717.37256840902</v>
          </cell>
          <cell r="G275">
            <v>3844.08</v>
          </cell>
          <cell r="H275">
            <v>58.472404377658997</v>
          </cell>
        </row>
        <row r="276">
          <cell r="F276" t="str">
            <v>Infeasible</v>
          </cell>
          <cell r="G276">
            <v>4012.23</v>
          </cell>
        </row>
        <row r="279">
          <cell r="F279">
            <v>150498.93998447899</v>
          </cell>
          <cell r="G279">
            <v>876.03</v>
          </cell>
        </row>
        <row r="280">
          <cell r="F280">
            <v>238491.982999992</v>
          </cell>
          <cell r="G280">
            <v>3649</v>
          </cell>
          <cell r="H280">
            <v>47.078331149845702</v>
          </cell>
        </row>
        <row r="281">
          <cell r="F281" t="str">
            <v>Infeasible</v>
          </cell>
          <cell r="G281">
            <v>3708.86</v>
          </cell>
        </row>
        <row r="282">
          <cell r="F282" t="str">
            <v>Infeasible</v>
          </cell>
          <cell r="G282">
            <v>3780.5</v>
          </cell>
        </row>
        <row r="283">
          <cell r="F283" t="str">
            <v>Infeasible</v>
          </cell>
          <cell r="G283">
            <v>3841.19</v>
          </cell>
        </row>
        <row r="287">
          <cell r="F287" t="str">
            <v>Infeasible</v>
          </cell>
          <cell r="G287">
            <v>3626.66</v>
          </cell>
        </row>
        <row r="288">
          <cell r="F288" t="str">
            <v>Infeasible</v>
          </cell>
          <cell r="G288">
            <v>3647.79</v>
          </cell>
        </row>
        <row r="289">
          <cell r="F289" t="str">
            <v>Infeasible</v>
          </cell>
          <cell r="G289">
            <v>3708.07</v>
          </cell>
        </row>
        <row r="290">
          <cell r="F290" t="str">
            <v>Infeasible</v>
          </cell>
          <cell r="G290">
            <v>3780.44</v>
          </cell>
        </row>
        <row r="291">
          <cell r="F291" t="str">
            <v>Infeasible</v>
          </cell>
          <cell r="G291">
            <v>3842.36</v>
          </cell>
        </row>
        <row r="297">
          <cell r="F297">
            <v>45047.159999999902</v>
          </cell>
          <cell r="G297">
            <v>135.13999999999999</v>
          </cell>
        </row>
        <row r="298">
          <cell r="F298">
            <v>70318.980110000004</v>
          </cell>
          <cell r="G298">
            <v>2485.94</v>
          </cell>
        </row>
        <row r="299">
          <cell r="F299">
            <v>99160.883999999904</v>
          </cell>
          <cell r="G299">
            <v>3649.09</v>
          </cell>
          <cell r="H299">
            <v>20.0779016855073</v>
          </cell>
        </row>
        <row r="300">
          <cell r="F300">
            <v>110868.135073023</v>
          </cell>
          <cell r="G300">
            <v>3688.9</v>
          </cell>
          <cell r="H300">
            <v>15.8338367991391</v>
          </cell>
        </row>
        <row r="301">
          <cell r="F301">
            <v>137502.372</v>
          </cell>
          <cell r="G301">
            <v>3748.3</v>
          </cell>
          <cell r="H301">
            <v>29.9974580906337</v>
          </cell>
        </row>
        <row r="302">
          <cell r="F302">
            <v>144548.484</v>
          </cell>
          <cell r="G302">
            <v>3787.61</v>
          </cell>
          <cell r="H302">
            <v>24.132174531384301</v>
          </cell>
        </row>
        <row r="303">
          <cell r="F303">
            <v>176004.02307403099</v>
          </cell>
          <cell r="G303">
            <v>3883.25</v>
          </cell>
          <cell r="H303">
            <v>27.886718930212002</v>
          </cell>
        </row>
        <row r="304">
          <cell r="F304">
            <v>209985.31477100399</v>
          </cell>
          <cell r="G304">
            <v>4032.14</v>
          </cell>
          <cell r="H304">
            <v>31.497537393242201</v>
          </cell>
        </row>
        <row r="305">
          <cell r="F305">
            <v>230663.399397473</v>
          </cell>
          <cell r="G305">
            <v>4127.28</v>
          </cell>
          <cell r="H305">
            <v>33.829292336015897</v>
          </cell>
        </row>
        <row r="306">
          <cell r="F306" t="str">
            <v>Infeasible</v>
          </cell>
          <cell r="G306">
            <v>4356.84</v>
          </cell>
        </row>
        <row r="308">
          <cell r="F308">
            <v>55370.467499999802</v>
          </cell>
          <cell r="G308">
            <v>445.78</v>
          </cell>
        </row>
        <row r="309">
          <cell r="F309">
            <v>86433.743450001406</v>
          </cell>
          <cell r="G309">
            <v>3628.77</v>
          </cell>
          <cell r="H309">
            <v>19.555262624675098</v>
          </cell>
        </row>
        <row r="310">
          <cell r="F310">
            <v>126240.50049999901</v>
          </cell>
          <cell r="G310">
            <v>3644.13</v>
          </cell>
          <cell r="H310">
            <v>24.3026492610948</v>
          </cell>
        </row>
        <row r="311">
          <cell r="F311">
            <v>148029.14149999799</v>
          </cell>
          <cell r="G311">
            <v>3689.93</v>
          </cell>
          <cell r="H311">
            <v>34.3298344602577</v>
          </cell>
        </row>
        <row r="312">
          <cell r="F312">
            <v>175986.54217509099</v>
          </cell>
          <cell r="G312">
            <v>3746.31</v>
          </cell>
          <cell r="H312">
            <v>34.753517548161597</v>
          </cell>
        </row>
        <row r="313">
          <cell r="F313" t="str">
            <v>Infeasible</v>
          </cell>
          <cell r="G313">
            <v>3785.18</v>
          </cell>
        </row>
        <row r="314">
          <cell r="F314">
            <v>258857.76524999901</v>
          </cell>
          <cell r="G314">
            <v>3882.43</v>
          </cell>
          <cell r="H314">
            <v>40.346500515982001</v>
          </cell>
        </row>
        <row r="315">
          <cell r="F315" t="str">
            <v>Infeasible</v>
          </cell>
          <cell r="G315">
            <v>4029.61</v>
          </cell>
        </row>
        <row r="319">
          <cell r="F319">
            <v>59499.790499983603</v>
          </cell>
          <cell r="G319">
            <v>306.04000000000002</v>
          </cell>
        </row>
        <row r="320">
          <cell r="F320">
            <v>98041.934349997202</v>
          </cell>
          <cell r="G320">
            <v>3628.76</v>
          </cell>
          <cell r="H320">
            <v>24.233989431358001</v>
          </cell>
        </row>
        <row r="321">
          <cell r="F321">
            <v>154779.87819999401</v>
          </cell>
          <cell r="G321">
            <v>3642.83</v>
          </cell>
          <cell r="H321">
            <v>33.679682935575102</v>
          </cell>
        </row>
        <row r="322">
          <cell r="F322">
            <v>180190.074566152</v>
          </cell>
          <cell r="G322">
            <v>3688.79</v>
          </cell>
          <cell r="H322">
            <v>42.067302885139298</v>
          </cell>
        </row>
        <row r="323">
          <cell r="F323" t="str">
            <v>Infeasible</v>
          </cell>
          <cell r="G323">
            <v>3747.75</v>
          </cell>
        </row>
        <row r="330">
          <cell r="F330">
            <v>38622.156000000003</v>
          </cell>
          <cell r="G330">
            <v>24.89</v>
          </cell>
        </row>
        <row r="331">
          <cell r="F331">
            <v>70962.428459949195</v>
          </cell>
          <cell r="G331">
            <v>397.67</v>
          </cell>
        </row>
        <row r="332">
          <cell r="F332">
            <v>88285.871297012505</v>
          </cell>
          <cell r="G332">
            <v>436.96</v>
          </cell>
        </row>
        <row r="333">
          <cell r="F333">
            <v>112743.755400482</v>
          </cell>
          <cell r="G333">
            <v>3691.9</v>
          </cell>
          <cell r="H333">
            <v>13.7453033283678</v>
          </cell>
        </row>
        <row r="334">
          <cell r="F334">
            <v>132881.57999999999</v>
          </cell>
          <cell r="G334">
            <v>3747.08</v>
          </cell>
          <cell r="H334">
            <v>22.884334655353602</v>
          </cell>
        </row>
        <row r="335">
          <cell r="F335">
            <v>145085.37449876501</v>
          </cell>
          <cell r="G335">
            <v>3784.59</v>
          </cell>
          <cell r="H335">
            <v>20.967949869438499</v>
          </cell>
        </row>
        <row r="336">
          <cell r="F336">
            <v>177078.73149455999</v>
          </cell>
          <cell r="G336">
            <v>3899.01</v>
          </cell>
          <cell r="H336">
            <v>26.492192563632202</v>
          </cell>
        </row>
        <row r="337">
          <cell r="F337">
            <v>215419.836054999</v>
          </cell>
          <cell r="G337">
            <v>4028.38</v>
          </cell>
          <cell r="H337">
            <v>32.9612798107743</v>
          </cell>
        </row>
        <row r="338">
          <cell r="F338">
            <v>226230.25160998301</v>
          </cell>
          <cell r="G338">
            <v>4123.8</v>
          </cell>
          <cell r="H338">
            <v>30.234143837919799</v>
          </cell>
        </row>
        <row r="339">
          <cell r="F339" t="str">
            <v>Infeasible</v>
          </cell>
          <cell r="G339">
            <v>4339.2</v>
          </cell>
        </row>
        <row r="341">
          <cell r="F341">
            <v>47473.066749999998</v>
          </cell>
          <cell r="G341">
            <v>24.82</v>
          </cell>
        </row>
        <row r="342">
          <cell r="F342">
            <v>89102.004537016095</v>
          </cell>
          <cell r="G342">
            <v>2152.84</v>
          </cell>
        </row>
        <row r="343">
          <cell r="F343">
            <v>133031.825099999</v>
          </cell>
          <cell r="G343">
            <v>3640.42</v>
          </cell>
          <cell r="H343">
            <v>32.396655675076097</v>
          </cell>
        </row>
        <row r="344">
          <cell r="F344">
            <v>140133.89424846799</v>
          </cell>
          <cell r="G344">
            <v>3691.54</v>
          </cell>
          <cell r="H344">
            <v>20.8816699146298</v>
          </cell>
        </row>
        <row r="345">
          <cell r="F345">
            <v>170832.15474999699</v>
          </cell>
          <cell r="G345">
            <v>3744.85</v>
          </cell>
          <cell r="H345">
            <v>26.817354121979999</v>
          </cell>
        </row>
        <row r="346">
          <cell r="F346">
            <v>190289.63182498</v>
          </cell>
          <cell r="G346">
            <v>3783.38</v>
          </cell>
          <cell r="H346">
            <v>26.876905741646699</v>
          </cell>
        </row>
        <row r="347">
          <cell r="F347">
            <v>226733.29765172201</v>
          </cell>
          <cell r="G347">
            <v>3900.27</v>
          </cell>
          <cell r="H347">
            <v>29.6219598376906</v>
          </cell>
        </row>
        <row r="348">
          <cell r="F348" t="str">
            <v>Infeasible</v>
          </cell>
          <cell r="G348">
            <v>4024.76</v>
          </cell>
        </row>
        <row r="349">
          <cell r="F349" t="str">
            <v>Infeasible</v>
          </cell>
          <cell r="G349">
            <v>4118.09</v>
          </cell>
        </row>
        <row r="352">
          <cell r="F352">
            <v>68730.829851328701</v>
          </cell>
          <cell r="G352">
            <v>472.96</v>
          </cell>
        </row>
        <row r="353">
          <cell r="F353">
            <v>119249.788312377</v>
          </cell>
          <cell r="G353">
            <v>3625.74</v>
          </cell>
          <cell r="H353">
            <v>29.535419336087902</v>
          </cell>
        </row>
        <row r="354">
          <cell r="F354" t="str">
            <v>Infeasible</v>
          </cell>
          <cell r="G354">
            <v>3640.23</v>
          </cell>
        </row>
        <row r="355">
          <cell r="F355" t="str">
            <v>Infeasible</v>
          </cell>
          <cell r="G355">
            <v>3689.47</v>
          </cell>
        </row>
        <row r="356">
          <cell r="F356" t="str">
            <v>Infeasible</v>
          </cell>
          <cell r="G356">
            <v>3743.66</v>
          </cell>
        </row>
        <row r="363">
          <cell r="F363">
            <v>38500.2599999999</v>
          </cell>
          <cell r="G363">
            <v>20.100000000000001</v>
          </cell>
        </row>
        <row r="364">
          <cell r="F364">
            <v>64509.839903659602</v>
          </cell>
          <cell r="G364">
            <v>526.61</v>
          </cell>
        </row>
        <row r="365">
          <cell r="F365">
            <v>88037.637057404703</v>
          </cell>
          <cell r="G365">
            <v>2203.63</v>
          </cell>
        </row>
        <row r="366">
          <cell r="F366">
            <v>108803.531999999</v>
          </cell>
          <cell r="G366">
            <v>3691.76</v>
          </cell>
          <cell r="H366">
            <v>21.832973525860499</v>
          </cell>
        </row>
        <row r="367">
          <cell r="F367">
            <v>130878.88800000001</v>
          </cell>
          <cell r="G367">
            <v>3747.2</v>
          </cell>
          <cell r="H367">
            <v>29.381903143598699</v>
          </cell>
        </row>
        <row r="368">
          <cell r="F368">
            <v>144304.81200000001</v>
          </cell>
          <cell r="G368">
            <v>3797.16</v>
          </cell>
          <cell r="H368">
            <v>30.335778685618301</v>
          </cell>
        </row>
        <row r="369">
          <cell r="F369">
            <v>170577.864</v>
          </cell>
          <cell r="G369">
            <v>3914.87</v>
          </cell>
          <cell r="H369">
            <v>30.721474834194598</v>
          </cell>
        </row>
        <row r="370">
          <cell r="F370">
            <v>240365.26805499999</v>
          </cell>
          <cell r="G370">
            <v>3987.5</v>
          </cell>
          <cell r="H370">
            <v>45.9279998335928</v>
          </cell>
        </row>
        <row r="371">
          <cell r="F371">
            <v>248469.103999999</v>
          </cell>
          <cell r="G371">
            <v>4134.33</v>
          </cell>
          <cell r="H371">
            <v>39.451876732050998</v>
          </cell>
        </row>
        <row r="372">
          <cell r="F372">
            <v>255965.467999999</v>
          </cell>
          <cell r="G372">
            <v>4362.9399999999996</v>
          </cell>
          <cell r="H372">
            <v>33.740136844086997</v>
          </cell>
        </row>
        <row r="374">
          <cell r="F374">
            <v>47323.236194999998</v>
          </cell>
          <cell r="G374">
            <v>23.22</v>
          </cell>
        </row>
        <row r="375">
          <cell r="F375">
            <v>79293.344989350298</v>
          </cell>
          <cell r="G375">
            <v>3623.76</v>
          </cell>
          <cell r="H375">
            <v>20.8526699312633</v>
          </cell>
        </row>
        <row r="376">
          <cell r="F376">
            <v>120336.57354543101</v>
          </cell>
          <cell r="G376">
            <v>3639.27</v>
          </cell>
          <cell r="H376">
            <v>29.402909602729</v>
          </cell>
        </row>
        <row r="377">
          <cell r="F377" t="str">
            <v>Infeasible</v>
          </cell>
          <cell r="G377">
            <v>3690.69</v>
          </cell>
        </row>
        <row r="378">
          <cell r="F378" t="str">
            <v>Infeasible</v>
          </cell>
          <cell r="G378">
            <v>3747.98</v>
          </cell>
        </row>
        <row r="385">
          <cell r="F385">
            <v>54855.058949999897</v>
          </cell>
          <cell r="G385">
            <v>24.42</v>
          </cell>
        </row>
        <row r="386">
          <cell r="F386">
            <v>103388.947459125</v>
          </cell>
          <cell r="G386">
            <v>3624.25</v>
          </cell>
          <cell r="H386">
            <v>28.1533360974049</v>
          </cell>
        </row>
        <row r="387">
          <cell r="F387">
            <v>159983.59136307499</v>
          </cell>
          <cell r="G387">
            <v>3637.26</v>
          </cell>
          <cell r="H387">
            <v>34.061092953854597</v>
          </cell>
        </row>
        <row r="388">
          <cell r="F388" t="str">
            <v>Infeasible</v>
          </cell>
          <cell r="G388">
            <v>3693.23</v>
          </cell>
        </row>
        <row r="389">
          <cell r="F389" t="str">
            <v>Infeasible</v>
          </cell>
          <cell r="G389">
            <v>3747.86</v>
          </cell>
        </row>
        <row r="396">
          <cell r="F396">
            <v>55719.227999999901</v>
          </cell>
          <cell r="G396">
            <v>62.56</v>
          </cell>
        </row>
        <row r="397">
          <cell r="F397">
            <v>68436.335814999897</v>
          </cell>
          <cell r="G397">
            <v>175.33</v>
          </cell>
        </row>
        <row r="398">
          <cell r="F398">
            <v>107375.81709681801</v>
          </cell>
          <cell r="G398">
            <v>3648.59</v>
          </cell>
          <cell r="H398">
            <v>3.0651575037913399</v>
          </cell>
        </row>
        <row r="399">
          <cell r="F399">
            <v>131302.068099992</v>
          </cell>
          <cell r="G399">
            <v>3700.98</v>
          </cell>
          <cell r="H399">
            <v>14.775994301337199</v>
          </cell>
        </row>
        <row r="400">
          <cell r="F400">
            <v>144725.724165002</v>
          </cell>
          <cell r="G400">
            <v>3727.77</v>
          </cell>
          <cell r="H400">
            <v>21.494670687952901</v>
          </cell>
        </row>
        <row r="401">
          <cell r="F401">
            <v>150380.833463722</v>
          </cell>
          <cell r="G401">
            <v>3799.68</v>
          </cell>
          <cell r="H401">
            <v>20.357934698413299</v>
          </cell>
        </row>
        <row r="402">
          <cell r="F402">
            <v>185243.09994327</v>
          </cell>
          <cell r="G402">
            <v>3894.48</v>
          </cell>
          <cell r="H402">
            <v>25.417251031141699</v>
          </cell>
        </row>
        <row r="403">
          <cell r="F403">
            <v>213897.09599999999</v>
          </cell>
          <cell r="G403">
            <v>3969.62</v>
          </cell>
          <cell r="H403">
            <v>33.841487799409599</v>
          </cell>
        </row>
        <row r="404">
          <cell r="F404">
            <v>235775.308374999</v>
          </cell>
          <cell r="G404">
            <v>4146.01</v>
          </cell>
          <cell r="H404">
            <v>32.743543973442499</v>
          </cell>
        </row>
        <row r="405">
          <cell r="F405" t="str">
            <v>Infeasible</v>
          </cell>
          <cell r="G405">
            <v>4159.5025999999998</v>
          </cell>
        </row>
        <row r="407">
          <cell r="F407">
            <v>68488.217632505301</v>
          </cell>
          <cell r="G407">
            <v>210.59</v>
          </cell>
        </row>
        <row r="408">
          <cell r="F408">
            <v>84119.663</v>
          </cell>
          <cell r="G408">
            <v>575.58000000000004</v>
          </cell>
        </row>
        <row r="409">
          <cell r="F409">
            <v>136501.63298571901</v>
          </cell>
          <cell r="G409">
            <v>3643.12</v>
          </cell>
          <cell r="H409">
            <v>23.672665279124999</v>
          </cell>
        </row>
        <row r="410">
          <cell r="F410">
            <v>167643.97174999901</v>
          </cell>
          <cell r="G410">
            <v>3700.07</v>
          </cell>
          <cell r="H410">
            <v>26.935010313799399</v>
          </cell>
        </row>
        <row r="411">
          <cell r="F411">
            <v>186367.208749985</v>
          </cell>
          <cell r="G411">
            <v>3728.15</v>
          </cell>
          <cell r="H411">
            <v>26.292860259335999</v>
          </cell>
        </row>
        <row r="412">
          <cell r="F412" t="str">
            <v>Infeasible</v>
          </cell>
          <cell r="G412">
            <v>3796.16</v>
          </cell>
        </row>
        <row r="413">
          <cell r="F413">
            <v>236943.70499999</v>
          </cell>
          <cell r="G413">
            <v>3888.9</v>
          </cell>
          <cell r="H413">
            <v>28.393180371091201</v>
          </cell>
        </row>
        <row r="414">
          <cell r="F414">
            <v>293557.921999869</v>
          </cell>
          <cell r="G414">
            <v>3968.33</v>
          </cell>
          <cell r="H414">
            <v>40.7683997516327</v>
          </cell>
        </row>
        <row r="415">
          <cell r="F415" t="str">
            <v>Infeasible</v>
          </cell>
          <cell r="G415">
            <v>4136.71</v>
          </cell>
        </row>
        <row r="418">
          <cell r="F418">
            <v>79231.915139107499</v>
          </cell>
          <cell r="G418">
            <v>265.85000000000002</v>
          </cell>
        </row>
        <row r="419">
          <cell r="F419">
            <v>91576.418199999898</v>
          </cell>
          <cell r="G419">
            <v>788.86</v>
          </cell>
        </row>
        <row r="420">
          <cell r="F420">
            <v>159631.43640000001</v>
          </cell>
          <cell r="G420">
            <v>3642.08</v>
          </cell>
          <cell r="H420">
            <v>28.403672404241401</v>
          </cell>
        </row>
        <row r="421">
          <cell r="F421">
            <v>220874.06120005099</v>
          </cell>
          <cell r="G421">
            <v>3700.1</v>
          </cell>
          <cell r="H421">
            <v>39.242481648862601</v>
          </cell>
        </row>
        <row r="422">
          <cell r="F422" t="str">
            <v>Infeasible</v>
          </cell>
          <cell r="G422">
            <v>3727.09</v>
          </cell>
        </row>
        <row r="423">
          <cell r="F423" t="str">
            <v>Infeasible</v>
          </cell>
          <cell r="G423">
            <v>3796.52</v>
          </cell>
        </row>
        <row r="429">
          <cell r="F429">
            <v>62281.811999999998</v>
          </cell>
          <cell r="G429">
            <v>136.88</v>
          </cell>
        </row>
        <row r="430">
          <cell r="F430">
            <v>94057.368054999999</v>
          </cell>
          <cell r="G430">
            <v>2799.16</v>
          </cell>
        </row>
        <row r="431">
          <cell r="F431">
            <v>115807.01967379601</v>
          </cell>
          <cell r="G431">
            <v>3651.1</v>
          </cell>
          <cell r="H431">
            <v>17.225744651325499</v>
          </cell>
        </row>
        <row r="432">
          <cell r="F432">
            <v>134336.18400000001</v>
          </cell>
          <cell r="G432">
            <v>3704.16</v>
          </cell>
          <cell r="H432">
            <v>23.386713119224599</v>
          </cell>
        </row>
        <row r="433">
          <cell r="F433">
            <v>154605.323999999</v>
          </cell>
          <cell r="G433">
            <v>3741.08</v>
          </cell>
          <cell r="H433">
            <v>23.443125861468001</v>
          </cell>
        </row>
        <row r="434">
          <cell r="F434">
            <v>183182.84400000001</v>
          </cell>
          <cell r="G434">
            <v>3835.76</v>
          </cell>
          <cell r="H434">
            <v>27.111989125580202</v>
          </cell>
        </row>
        <row r="435">
          <cell r="F435">
            <v>185364.96</v>
          </cell>
          <cell r="G435">
            <v>3890.59</v>
          </cell>
          <cell r="H435">
            <v>22.239907669832299</v>
          </cell>
        </row>
        <row r="436">
          <cell r="F436">
            <v>207691.114728427</v>
          </cell>
          <cell r="G436">
            <v>4026.15</v>
          </cell>
          <cell r="H436">
            <v>26.514833427785401</v>
          </cell>
        </row>
        <row r="437">
          <cell r="F437">
            <v>234967.992</v>
          </cell>
          <cell r="G437">
            <v>4139.28</v>
          </cell>
          <cell r="H437">
            <v>32.1234367477064</v>
          </cell>
        </row>
        <row r="438">
          <cell r="F438" t="str">
            <v>Infeasible</v>
          </cell>
          <cell r="G438">
            <v>4163.2464</v>
          </cell>
        </row>
        <row r="440">
          <cell r="F440">
            <v>76692.344630000007</v>
          </cell>
          <cell r="G440">
            <v>209.75</v>
          </cell>
        </row>
        <row r="441">
          <cell r="F441">
            <v>118477.899768036</v>
          </cell>
          <cell r="G441">
            <v>3628.42</v>
          </cell>
          <cell r="H441">
            <v>25.070804082101098</v>
          </cell>
        </row>
        <row r="442">
          <cell r="F442">
            <v>148758.69289305201</v>
          </cell>
          <cell r="G442">
            <v>3644.92</v>
          </cell>
          <cell r="H442">
            <v>28.327613697801599</v>
          </cell>
        </row>
        <row r="443">
          <cell r="F443">
            <v>170245.620999999</v>
          </cell>
          <cell r="G443">
            <v>3703.19</v>
          </cell>
          <cell r="H443">
            <v>26.522471395575199</v>
          </cell>
        </row>
        <row r="444">
          <cell r="F444" t="str">
            <v>Infeasible</v>
          </cell>
          <cell r="G444">
            <v>3740.04</v>
          </cell>
        </row>
        <row r="445">
          <cell r="F445" t="str">
            <v>Infeasible</v>
          </cell>
          <cell r="G445">
            <v>3831.23</v>
          </cell>
        </row>
        <row r="451">
          <cell r="F451">
            <v>126686.74942455201</v>
          </cell>
          <cell r="G451">
            <v>3619.66</v>
          </cell>
          <cell r="H451">
            <v>32.495868207938997</v>
          </cell>
        </row>
        <row r="452">
          <cell r="F452" t="str">
            <v>Infeasible</v>
          </cell>
          <cell r="G452">
            <v>3634.63</v>
          </cell>
        </row>
        <row r="453">
          <cell r="F453">
            <v>182590.77932648599</v>
          </cell>
          <cell r="G453">
            <v>3644.27</v>
          </cell>
          <cell r="H453">
            <v>37.2819698113043</v>
          </cell>
        </row>
        <row r="454">
          <cell r="F454">
            <v>230741.36774999401</v>
          </cell>
          <cell r="G454">
            <v>3704.34</v>
          </cell>
          <cell r="H454">
            <v>41.727914354463799</v>
          </cell>
        </row>
        <row r="455">
          <cell r="F455" t="str">
            <v>Infeasible</v>
          </cell>
          <cell r="G455">
            <v>3738.14</v>
          </cell>
        </row>
        <row r="456">
          <cell r="F456" t="str">
            <v>Infeasible</v>
          </cell>
          <cell r="G456">
            <v>3829.61</v>
          </cell>
        </row>
      </sheetData>
      <sheetData sheetId="9">
        <row r="5">
          <cell r="F5">
            <v>55302.648000000001</v>
          </cell>
          <cell r="G5">
            <v>18.851193750000601</v>
          </cell>
        </row>
        <row r="6">
          <cell r="F6">
            <v>85320.096109999693</v>
          </cell>
          <cell r="G6">
            <v>23.503628541999198</v>
          </cell>
        </row>
        <row r="7">
          <cell r="F7">
            <v>120256.320109999</v>
          </cell>
          <cell r="G7">
            <v>29.039053707998299</v>
          </cell>
        </row>
        <row r="8">
          <cell r="F8">
            <v>133149.34816499901</v>
          </cell>
          <cell r="G8">
            <v>40.1645165000009</v>
          </cell>
        </row>
        <row r="9">
          <cell r="F9">
            <v>162949.77622</v>
          </cell>
          <cell r="G9">
            <v>84.329131916998406</v>
          </cell>
        </row>
        <row r="10">
          <cell r="F10">
            <v>172929.97211</v>
          </cell>
          <cell r="G10">
            <v>194.059105415999</v>
          </cell>
        </row>
        <row r="11">
          <cell r="F11">
            <v>211543.47622000001</v>
          </cell>
          <cell r="G11">
            <v>551.14548199999899</v>
          </cell>
        </row>
        <row r="12">
          <cell r="F12">
            <v>244752.39610999901</v>
          </cell>
          <cell r="G12">
            <v>1293.1789409999899</v>
          </cell>
        </row>
        <row r="13">
          <cell r="F13" t="str">
            <v>Infeasible</v>
          </cell>
          <cell r="G13" t="str">
            <v>-</v>
          </cell>
        </row>
        <row r="16">
          <cell r="F16">
            <v>67976.171499999997</v>
          </cell>
          <cell r="G16">
            <v>18.510349750002199</v>
          </cell>
        </row>
        <row r="17">
          <cell r="F17">
            <v>105663.867</v>
          </cell>
          <cell r="G17">
            <v>24.3366307919968</v>
          </cell>
        </row>
        <row r="18">
          <cell r="F18">
            <v>152395.73149999999</v>
          </cell>
          <cell r="G18">
            <v>31.1863764579975</v>
          </cell>
        </row>
        <row r="19">
          <cell r="F19">
            <v>179186.17124997301</v>
          </cell>
          <cell r="G19">
            <v>61.217876124999698</v>
          </cell>
        </row>
        <row r="20">
          <cell r="F20">
            <v>210478.842</v>
          </cell>
          <cell r="G20">
            <v>147.058327958999</v>
          </cell>
        </row>
        <row r="21">
          <cell r="F21">
            <v>232577.911499999</v>
          </cell>
          <cell r="G21">
            <v>330.28306787499901</v>
          </cell>
        </row>
        <row r="22">
          <cell r="F22">
            <v>278422.32749999902</v>
          </cell>
          <cell r="G22">
            <v>889.21495791599898</v>
          </cell>
        </row>
        <row r="23">
          <cell r="F23">
            <v>326640.87399999698</v>
          </cell>
          <cell r="G23">
            <v>1958.2312139159901</v>
          </cell>
        </row>
        <row r="24">
          <cell r="F24" t="str">
            <v>Infeasible</v>
          </cell>
          <cell r="G24" t="str">
            <v>-</v>
          </cell>
        </row>
        <row r="27">
          <cell r="F27">
            <v>75890.497399999993</v>
          </cell>
          <cell r="G27">
            <v>19.306857125000501</v>
          </cell>
        </row>
        <row r="28">
          <cell r="F28">
            <v>137129.4767</v>
          </cell>
          <cell r="G28">
            <v>27.1744178750013</v>
          </cell>
        </row>
        <row r="29">
          <cell r="F29">
            <v>213033.43075</v>
          </cell>
          <cell r="G29">
            <v>33.586795125000201</v>
          </cell>
        </row>
        <row r="30">
          <cell r="F30">
            <v>249623.04479999901</v>
          </cell>
          <cell r="G30">
            <v>57.063172500002104</v>
          </cell>
        </row>
        <row r="31">
          <cell r="F31" t="str">
            <v>Infeasible</v>
          </cell>
          <cell r="G31">
            <v>140.05325454200201</v>
          </cell>
        </row>
        <row r="32">
          <cell r="F32">
            <v>331303.35699999903</v>
          </cell>
          <cell r="G32">
            <v>301.447244125</v>
          </cell>
        </row>
        <row r="33">
          <cell r="F33" t="str">
            <v>Infeasible</v>
          </cell>
          <cell r="G33">
            <v>816.19348145799802</v>
          </cell>
        </row>
        <row r="34">
          <cell r="F34">
            <v>426539.08048599103</v>
          </cell>
          <cell r="G34">
            <v>1826.17517612499</v>
          </cell>
        </row>
        <row r="35">
          <cell r="F35" t="str">
            <v>Infeasible</v>
          </cell>
          <cell r="G35" t="str">
            <v>-</v>
          </cell>
        </row>
        <row r="38">
          <cell r="F38">
            <v>49863.492055000002</v>
          </cell>
          <cell r="G38">
            <v>15.562669292001299</v>
          </cell>
        </row>
        <row r="39">
          <cell r="F39">
            <v>90444.7561099999</v>
          </cell>
          <cell r="G39">
            <v>23.4507807910013</v>
          </cell>
        </row>
        <row r="40">
          <cell r="F40">
            <v>114742.020055</v>
          </cell>
          <cell r="G40">
            <v>27.943214916998802</v>
          </cell>
        </row>
        <row r="41">
          <cell r="F41">
            <v>143127.348</v>
          </cell>
          <cell r="G41">
            <v>48.606636625001499</v>
          </cell>
        </row>
        <row r="42">
          <cell r="F42">
            <v>167489.50799999901</v>
          </cell>
          <cell r="G42">
            <v>133.24158974999901</v>
          </cell>
        </row>
        <row r="43">
          <cell r="F43">
            <v>182135.16005499999</v>
          </cell>
          <cell r="G43">
            <v>482.785648500001</v>
          </cell>
        </row>
        <row r="44">
          <cell r="F44">
            <v>213770.00416499999</v>
          </cell>
          <cell r="G44">
            <v>1280.5839155000001</v>
          </cell>
        </row>
        <row r="45">
          <cell r="F45" t="str">
            <v>Infeasible</v>
          </cell>
          <cell r="G45" t="str">
            <v>-</v>
          </cell>
        </row>
        <row r="49">
          <cell r="F49">
            <v>64370.666749999997</v>
          </cell>
          <cell r="G49">
            <v>16.8706063339996</v>
          </cell>
        </row>
        <row r="50">
          <cell r="F50">
            <v>119164.232249999</v>
          </cell>
          <cell r="G50">
            <v>38.065753917002397</v>
          </cell>
        </row>
        <row r="51">
          <cell r="F51">
            <v>175202.16675</v>
          </cell>
          <cell r="G51">
            <v>38.627970166999098</v>
          </cell>
        </row>
        <row r="52">
          <cell r="F52">
            <v>192131.12524999899</v>
          </cell>
          <cell r="G52">
            <v>100.43715024999899</v>
          </cell>
        </row>
        <row r="53">
          <cell r="F53">
            <v>223261.634499999</v>
          </cell>
          <cell r="G53">
            <v>288.03864354199999</v>
          </cell>
        </row>
        <row r="54">
          <cell r="F54">
            <v>246318.87874999901</v>
          </cell>
          <cell r="G54">
            <v>944.636655875001</v>
          </cell>
        </row>
        <row r="55">
          <cell r="F55">
            <v>279142.23074999597</v>
          </cell>
          <cell r="G55">
            <v>2156.0731305419999</v>
          </cell>
        </row>
        <row r="56">
          <cell r="F56" t="str">
            <v>Infeasible</v>
          </cell>
          <cell r="G56" t="str">
            <v>-</v>
          </cell>
        </row>
        <row r="60">
          <cell r="F60" t="str">
            <v>Infeasible</v>
          </cell>
          <cell r="G60">
            <v>13.7054470000002</v>
          </cell>
        </row>
        <row r="61">
          <cell r="F61" t="str">
            <v>Infeasible</v>
          </cell>
          <cell r="G61">
            <v>19.283352208996799</v>
          </cell>
        </row>
        <row r="62">
          <cell r="F62" t="str">
            <v>Infeasible</v>
          </cell>
          <cell r="G62">
            <v>28.039063708001699</v>
          </cell>
        </row>
        <row r="63">
          <cell r="F63" t="str">
            <v>Infeasible</v>
          </cell>
          <cell r="G63">
            <v>86.708364875001195</v>
          </cell>
        </row>
        <row r="64">
          <cell r="F64">
            <v>348935.89554999903</v>
          </cell>
          <cell r="G64">
            <v>306.17616545800001</v>
          </cell>
        </row>
        <row r="65">
          <cell r="F65" t="str">
            <v>Infeasible</v>
          </cell>
          <cell r="G65">
            <v>834.48950241700004</v>
          </cell>
        </row>
        <row r="66">
          <cell r="F66">
            <v>363561.81589999999</v>
          </cell>
          <cell r="G66">
            <v>1991.9382027500001</v>
          </cell>
        </row>
        <row r="67">
          <cell r="F67" t="str">
            <v>Infeasible</v>
          </cell>
          <cell r="G67" t="str">
            <v>-</v>
          </cell>
        </row>
        <row r="71">
          <cell r="F71">
            <v>48507.240055000002</v>
          </cell>
          <cell r="G71">
            <v>17.882419625006101</v>
          </cell>
        </row>
        <row r="72">
          <cell r="F72">
            <v>78358.488054999994</v>
          </cell>
          <cell r="G72">
            <v>21.5784776670043</v>
          </cell>
        </row>
        <row r="73">
          <cell r="F73">
            <v>113769.79210999999</v>
          </cell>
          <cell r="G73">
            <v>25.920693374995601</v>
          </cell>
        </row>
        <row r="74">
          <cell r="F74">
            <v>135356.46005499901</v>
          </cell>
          <cell r="G74">
            <v>40.216461417003302</v>
          </cell>
        </row>
        <row r="75">
          <cell r="F75">
            <v>156913.64410999999</v>
          </cell>
          <cell r="G75">
            <v>95.007494999998002</v>
          </cell>
        </row>
        <row r="76">
          <cell r="F76">
            <v>166271.460165</v>
          </cell>
          <cell r="G76">
            <v>220.844057499998</v>
          </cell>
        </row>
        <row r="77">
          <cell r="F77">
            <v>203972.38816499899</v>
          </cell>
          <cell r="G77">
            <v>1375.3313767499999</v>
          </cell>
        </row>
        <row r="78">
          <cell r="F78" t="str">
            <v>Infeasible</v>
          </cell>
          <cell r="G78" t="str">
            <v>-</v>
          </cell>
        </row>
        <row r="82">
          <cell r="F82">
            <v>61871.411999999997</v>
          </cell>
          <cell r="G82">
            <v>19.181749542003601</v>
          </cell>
        </row>
        <row r="83">
          <cell r="F83">
            <v>111874.811749999</v>
          </cell>
          <cell r="G83">
            <v>25.9053152499982</v>
          </cell>
        </row>
        <row r="84">
          <cell r="F84">
            <v>165270.092</v>
          </cell>
          <cell r="G84">
            <v>28.652162083002601</v>
          </cell>
        </row>
        <row r="85">
          <cell r="F85">
            <v>179261.57324999999</v>
          </cell>
          <cell r="G85">
            <v>59.097714209004998</v>
          </cell>
        </row>
        <row r="86">
          <cell r="F86">
            <v>204008.636499999</v>
          </cell>
          <cell r="G86">
            <v>214.926121832999</v>
          </cell>
        </row>
        <row r="87">
          <cell r="F87">
            <v>226263.90849999999</v>
          </cell>
          <cell r="G87">
            <v>421.16644095900102</v>
          </cell>
        </row>
        <row r="88">
          <cell r="F88">
            <v>262370.74324999901</v>
          </cell>
          <cell r="G88">
            <v>1777.93347625</v>
          </cell>
        </row>
        <row r="89">
          <cell r="F89" t="str">
            <v>Infeasible</v>
          </cell>
          <cell r="G89" t="str">
            <v>-</v>
          </cell>
        </row>
        <row r="93">
          <cell r="F93" t="str">
            <v>Infeasible</v>
          </cell>
          <cell r="G93">
            <v>13.797503709000001</v>
          </cell>
        </row>
        <row r="94">
          <cell r="F94" t="str">
            <v>Infeasible</v>
          </cell>
          <cell r="G94">
            <v>25.747373999998601</v>
          </cell>
        </row>
        <row r="95">
          <cell r="F95" t="str">
            <v>Infeasible</v>
          </cell>
          <cell r="G95">
            <v>24.253645958000501</v>
          </cell>
        </row>
        <row r="96">
          <cell r="F96" t="str">
            <v>Infeasible</v>
          </cell>
          <cell r="G96">
            <v>49.569717541999097</v>
          </cell>
        </row>
        <row r="97">
          <cell r="F97" t="str">
            <v>Infeasible</v>
          </cell>
          <cell r="G97">
            <v>194.705182707999</v>
          </cell>
        </row>
        <row r="98">
          <cell r="F98" t="str">
            <v>Infeasible</v>
          </cell>
          <cell r="G98">
            <v>403.67613404100098</v>
          </cell>
        </row>
        <row r="99">
          <cell r="F99">
            <v>338148.90859999898</v>
          </cell>
          <cell r="G99">
            <v>1658.40432108399</v>
          </cell>
        </row>
        <row r="100">
          <cell r="F100" t="str">
            <v>Infeasible</v>
          </cell>
          <cell r="G100" t="str">
            <v>-</v>
          </cell>
        </row>
        <row r="104">
          <cell r="F104">
            <v>69217.776054999995</v>
          </cell>
          <cell r="G104">
            <v>16.788046666995701</v>
          </cell>
        </row>
        <row r="105">
          <cell r="F105">
            <v>84664.823999999993</v>
          </cell>
          <cell r="G105">
            <v>23.5999784160012</v>
          </cell>
        </row>
        <row r="106">
          <cell r="F106">
            <v>134054.83210999999</v>
          </cell>
          <cell r="G106">
            <v>29.149904790996501</v>
          </cell>
        </row>
        <row r="107">
          <cell r="F107">
            <v>163137.120165</v>
          </cell>
          <cell r="G107">
            <v>37.0029802920034</v>
          </cell>
        </row>
        <row r="108">
          <cell r="F108">
            <v>177075.28810999999</v>
          </cell>
          <cell r="G108">
            <v>57.5231888750058</v>
          </cell>
        </row>
        <row r="109">
          <cell r="F109">
            <v>186148.99210999999</v>
          </cell>
          <cell r="G109">
            <v>323.21172141699901</v>
          </cell>
        </row>
        <row r="110">
          <cell r="F110">
            <v>225047.30411</v>
          </cell>
          <cell r="G110">
            <v>507.08136620800298</v>
          </cell>
        </row>
        <row r="111">
          <cell r="F111">
            <v>234683.92811000001</v>
          </cell>
          <cell r="G111">
            <v>3579.07647825</v>
          </cell>
        </row>
        <row r="115">
          <cell r="F115">
            <v>87769.845499999996</v>
          </cell>
          <cell r="G115">
            <v>17.029024000003101</v>
          </cell>
        </row>
        <row r="116">
          <cell r="F116">
            <v>104067.1795</v>
          </cell>
          <cell r="G116">
            <v>23.660314332999398</v>
          </cell>
        </row>
        <row r="117">
          <cell r="F117">
            <v>179305.02674999999</v>
          </cell>
          <cell r="G117">
            <v>30.628695625004099</v>
          </cell>
        </row>
        <row r="118">
          <cell r="F118">
            <v>222014.72849999901</v>
          </cell>
          <cell r="G118">
            <v>41.031670625001397</v>
          </cell>
        </row>
        <row r="119">
          <cell r="F119">
            <v>247821.72675</v>
          </cell>
          <cell r="G119">
            <v>79.954761583001499</v>
          </cell>
        </row>
        <row r="120">
          <cell r="F120">
            <v>245617.25075000001</v>
          </cell>
          <cell r="G120">
            <v>663.13654383299502</v>
          </cell>
        </row>
        <row r="121">
          <cell r="F121">
            <v>297675.44349999999</v>
          </cell>
          <cell r="G121">
            <v>943.44061354099495</v>
          </cell>
        </row>
        <row r="122">
          <cell r="F122">
            <v>323194.47749990202</v>
          </cell>
          <cell r="G122">
            <v>5031.75238849999</v>
          </cell>
        </row>
        <row r="126">
          <cell r="F126" t="str">
            <v>Infeasible</v>
          </cell>
          <cell r="G126">
            <v>13.734460916995801</v>
          </cell>
        </row>
        <row r="127">
          <cell r="F127">
            <v>125962.47014999999</v>
          </cell>
          <cell r="G127">
            <v>25.631008457996298</v>
          </cell>
        </row>
        <row r="128">
          <cell r="F128" t="str">
            <v>Infeasible</v>
          </cell>
          <cell r="G128">
            <v>32.258315125000003</v>
          </cell>
        </row>
        <row r="129">
          <cell r="F129" t="str">
            <v>Infeasible</v>
          </cell>
          <cell r="G129">
            <v>35.9048181670004</v>
          </cell>
        </row>
        <row r="130">
          <cell r="F130" t="str">
            <v>Infeasible</v>
          </cell>
          <cell r="G130">
            <v>66.954543708001395</v>
          </cell>
        </row>
        <row r="131">
          <cell r="F131">
            <v>350592.69605000003</v>
          </cell>
          <cell r="G131">
            <v>638.86115137499996</v>
          </cell>
        </row>
        <row r="132">
          <cell r="F132">
            <v>449337.879049999</v>
          </cell>
          <cell r="G132">
            <v>897.35899920899794</v>
          </cell>
        </row>
        <row r="133">
          <cell r="F133" t="str">
            <v>Infeasible</v>
          </cell>
          <cell r="G133">
            <v>4576.4130314169997</v>
          </cell>
        </row>
        <row r="137">
          <cell r="F137">
            <v>75693.720054999998</v>
          </cell>
          <cell r="G137">
            <v>16.387580499998801</v>
          </cell>
        </row>
        <row r="138">
          <cell r="F138">
            <v>117945.01216499999</v>
          </cell>
          <cell r="G138">
            <v>20.662097291999</v>
          </cell>
        </row>
        <row r="139">
          <cell r="F139">
            <v>148248.37211</v>
          </cell>
          <cell r="G139">
            <v>27.594714334001701</v>
          </cell>
        </row>
        <row r="140">
          <cell r="F140">
            <v>165950.79605499899</v>
          </cell>
          <cell r="G140">
            <v>32.369077292001698</v>
          </cell>
        </row>
        <row r="141">
          <cell r="F141">
            <v>193623.31205499999</v>
          </cell>
          <cell r="G141">
            <v>42.928483791001703</v>
          </cell>
        </row>
        <row r="142">
          <cell r="F142">
            <v>221238.612165</v>
          </cell>
          <cell r="G142">
            <v>68.444074165999993</v>
          </cell>
        </row>
        <row r="143">
          <cell r="F143">
            <v>230253.42022</v>
          </cell>
          <cell r="G143">
            <v>295.57088287499897</v>
          </cell>
        </row>
        <row r="144">
          <cell r="F144">
            <v>253277.46033</v>
          </cell>
          <cell r="G144">
            <v>3401.0392950829901</v>
          </cell>
        </row>
        <row r="148">
          <cell r="F148">
            <v>94788.780499999993</v>
          </cell>
          <cell r="G148">
            <v>14.296959083003401</v>
          </cell>
        </row>
        <row r="149">
          <cell r="F149" t="str">
            <v>Infeasible</v>
          </cell>
          <cell r="G149">
            <v>17.999062916998799</v>
          </cell>
        </row>
        <row r="150">
          <cell r="F150">
            <v>212324.03749999899</v>
          </cell>
          <cell r="G150">
            <v>29.398269207995298</v>
          </cell>
        </row>
        <row r="151">
          <cell r="F151">
            <v>218235.217999999</v>
          </cell>
          <cell r="G151">
            <v>37.433645875003997</v>
          </cell>
        </row>
        <row r="152">
          <cell r="F152">
            <v>273246.96549999999</v>
          </cell>
          <cell r="G152">
            <v>61.919300790999799</v>
          </cell>
        </row>
        <row r="153">
          <cell r="F153">
            <v>289679.734</v>
          </cell>
          <cell r="G153">
            <v>106.098107875004</v>
          </cell>
        </row>
        <row r="154">
          <cell r="F154">
            <v>309734.77799999999</v>
          </cell>
          <cell r="G154">
            <v>554.12194354199801</v>
          </cell>
        </row>
        <row r="155">
          <cell r="F155">
            <v>333133.307749987</v>
          </cell>
          <cell r="G155">
            <v>3640.6455489159998</v>
          </cell>
        </row>
        <row r="159">
          <cell r="F159" t="str">
            <v>Infeasible</v>
          </cell>
          <cell r="G159">
            <v>13.637333874998101</v>
          </cell>
        </row>
        <row r="160">
          <cell r="F160" t="str">
            <v>Infeasible</v>
          </cell>
          <cell r="G160">
            <v>17.960888207999201</v>
          </cell>
        </row>
        <row r="161">
          <cell r="F161" t="str">
            <v>Infeasible</v>
          </cell>
          <cell r="G161">
            <v>28.599651666001499</v>
          </cell>
        </row>
        <row r="162">
          <cell r="F162" t="str">
            <v>Infeasible</v>
          </cell>
          <cell r="G162">
            <v>32.017651374997499</v>
          </cell>
        </row>
        <row r="163">
          <cell r="F163" t="str">
            <v>Infeasible</v>
          </cell>
          <cell r="G163">
            <v>50.429768999994799</v>
          </cell>
        </row>
        <row r="164">
          <cell r="F164">
            <v>395654.35699999903</v>
          </cell>
          <cell r="G164">
            <v>100.44642454200201</v>
          </cell>
        </row>
        <row r="165">
          <cell r="F165">
            <v>424751.882099999</v>
          </cell>
          <cell r="G165">
            <v>488.21707320799698</v>
          </cell>
        </row>
        <row r="166">
          <cell r="F166">
            <v>451083.26519999898</v>
          </cell>
          <cell r="G166">
            <v>3362.6531951249999</v>
          </cell>
        </row>
        <row r="179">
          <cell r="F179">
            <v>66252.528055000002</v>
          </cell>
          <cell r="G179">
            <v>29.255424334012702</v>
          </cell>
        </row>
        <row r="180">
          <cell r="F180">
            <v>109896.624164999</v>
          </cell>
          <cell r="G180">
            <v>41.973053125009699</v>
          </cell>
        </row>
        <row r="181">
          <cell r="F181">
            <v>162528.73216499999</v>
          </cell>
          <cell r="G181">
            <v>46.426576291996703</v>
          </cell>
        </row>
        <row r="182">
          <cell r="F182">
            <v>172260.51616499899</v>
          </cell>
          <cell r="G182">
            <v>59.920213874996897</v>
          </cell>
        </row>
        <row r="183">
          <cell r="F183">
            <v>220398.312275</v>
          </cell>
          <cell r="G183">
            <v>333.24423612499902</v>
          </cell>
        </row>
        <row r="184">
          <cell r="F184">
            <v>230733.948275</v>
          </cell>
          <cell r="G184">
            <v>259.62524095899403</v>
          </cell>
        </row>
        <row r="185">
          <cell r="F185" t="str">
            <v>Infeasible</v>
          </cell>
        </row>
        <row r="186">
          <cell r="F186" t="str">
            <v>Infeasible</v>
          </cell>
        </row>
        <row r="190">
          <cell r="F190">
            <v>82624.588249999899</v>
          </cell>
          <cell r="G190">
            <v>33.045729499994103</v>
          </cell>
        </row>
        <row r="191">
          <cell r="F191">
            <v>146353.88075000001</v>
          </cell>
          <cell r="G191">
            <v>65.490240416998802</v>
          </cell>
        </row>
        <row r="192">
          <cell r="F192">
            <v>216809.12899999999</v>
          </cell>
          <cell r="G192">
            <v>56.166258999990497</v>
          </cell>
        </row>
        <row r="193">
          <cell r="F193">
            <v>232596.570249999</v>
          </cell>
          <cell r="G193">
            <v>136.55128570800201</v>
          </cell>
        </row>
        <row r="194">
          <cell r="F194">
            <v>304848.95849999902</v>
          </cell>
          <cell r="G194">
            <v>298.80562108399999</v>
          </cell>
        </row>
        <row r="195">
          <cell r="F195">
            <v>317000.59849999897</v>
          </cell>
          <cell r="G195">
            <v>686.34032979200094</v>
          </cell>
        </row>
        <row r="196">
          <cell r="F196">
            <v>401528.17274999898</v>
          </cell>
          <cell r="G196">
            <v>2283.9428469999898</v>
          </cell>
        </row>
        <row r="197">
          <cell r="F197" t="str">
            <v>Infeasible</v>
          </cell>
          <cell r="G197" t="str">
            <v>-</v>
          </cell>
        </row>
        <row r="201">
          <cell r="F201">
            <v>99459.003599999996</v>
          </cell>
          <cell r="G201">
            <v>36.598980708003999</v>
          </cell>
        </row>
        <row r="202">
          <cell r="F202">
            <v>173287.0356</v>
          </cell>
          <cell r="G202">
            <v>107.987022625005</v>
          </cell>
        </row>
        <row r="203">
          <cell r="F203" t="str">
            <v>Infeasible</v>
          </cell>
          <cell r="G203">
            <v>162.339861083004</v>
          </cell>
        </row>
        <row r="204">
          <cell r="F204" t="str">
            <v>Infeasible</v>
          </cell>
          <cell r="G204">
            <v>307.14070037500602</v>
          </cell>
        </row>
        <row r="205">
          <cell r="F205" t="str">
            <v>Infeasible</v>
          </cell>
          <cell r="G205">
            <v>770.64751770799899</v>
          </cell>
        </row>
        <row r="206">
          <cell r="F206" t="str">
            <v>Infeasible</v>
          </cell>
          <cell r="G206">
            <v>913.52445216701005</v>
          </cell>
        </row>
        <row r="207">
          <cell r="F207" t="str">
            <v>Infeasible</v>
          </cell>
          <cell r="G207">
            <v>2298.6082339999898</v>
          </cell>
        </row>
        <row r="208">
          <cell r="F208" t="str">
            <v>Infeasible</v>
          </cell>
          <cell r="G208" t="str">
            <v>-</v>
          </cell>
        </row>
        <row r="212">
          <cell r="F212">
            <v>57884.196109999997</v>
          </cell>
          <cell r="G212">
            <v>23.992979667003901</v>
          </cell>
        </row>
        <row r="213">
          <cell r="F213">
            <v>115338.73211</v>
          </cell>
          <cell r="G213">
            <v>34.139941582994602</v>
          </cell>
        </row>
        <row r="214">
          <cell r="F214">
            <v>137864.80811000001</v>
          </cell>
          <cell r="G214">
            <v>42.040718042000599</v>
          </cell>
        </row>
        <row r="215">
          <cell r="F215">
            <v>181611.19216499999</v>
          </cell>
          <cell r="G215">
            <v>76.805319000006406</v>
          </cell>
        </row>
        <row r="216">
          <cell r="F216" t="str">
            <v>Infeasible</v>
          </cell>
        </row>
        <row r="217">
          <cell r="F217">
            <v>244687.06833000001</v>
          </cell>
          <cell r="G217">
            <v>767.37556600000198</v>
          </cell>
        </row>
        <row r="218">
          <cell r="F218" t="str">
            <v>Infeasible</v>
          </cell>
        </row>
        <row r="223">
          <cell r="F223" t="str">
            <v>Infeasible</v>
          </cell>
          <cell r="G223">
            <v>21.9282114160014</v>
          </cell>
        </row>
        <row r="224">
          <cell r="F224" t="str">
            <v>Infeasible</v>
          </cell>
          <cell r="G224">
            <v>29.767432458000201</v>
          </cell>
        </row>
        <row r="225">
          <cell r="F225" t="str">
            <v>Infeasible</v>
          </cell>
          <cell r="G225">
            <v>41.437708083991303</v>
          </cell>
        </row>
        <row r="226">
          <cell r="F226">
            <v>254712.10074999899</v>
          </cell>
          <cell r="G226">
            <v>258.99005133300602</v>
          </cell>
        </row>
        <row r="227">
          <cell r="F227">
            <v>321130.92299999902</v>
          </cell>
          <cell r="G227">
            <v>1250.0327069999901</v>
          </cell>
        </row>
        <row r="228">
          <cell r="F228">
            <v>335080.83875</v>
          </cell>
          <cell r="G228">
            <v>2647.5487038749998</v>
          </cell>
        </row>
        <row r="229">
          <cell r="F229">
            <v>394926.75124999997</v>
          </cell>
          <cell r="G229">
            <v>9053.867903458</v>
          </cell>
        </row>
        <row r="230">
          <cell r="F230" t="str">
            <v>Infeasible</v>
          </cell>
          <cell r="G230" t="str">
            <v>-</v>
          </cell>
        </row>
        <row r="234">
          <cell r="F234" t="str">
            <v>Infeasible</v>
          </cell>
          <cell r="G234">
            <v>21.965199042009701</v>
          </cell>
        </row>
        <row r="235">
          <cell r="F235" t="str">
            <v>Infeasible</v>
          </cell>
          <cell r="G235">
            <v>29.629845957999301</v>
          </cell>
        </row>
        <row r="236">
          <cell r="F236" t="str">
            <v>Infeasible</v>
          </cell>
          <cell r="G236">
            <v>41.585732917010297</v>
          </cell>
        </row>
        <row r="237">
          <cell r="F237" t="str">
            <v>Infeasible</v>
          </cell>
          <cell r="G237">
            <v>730.06137524999201</v>
          </cell>
        </row>
        <row r="238">
          <cell r="F238" t="str">
            <v>Infeasible</v>
          </cell>
          <cell r="G238">
            <v>1438.96759937499</v>
          </cell>
        </row>
        <row r="239">
          <cell r="F239" t="str">
            <v>Infeasible</v>
          </cell>
          <cell r="G239">
            <v>2814.4324920419999</v>
          </cell>
        </row>
        <row r="240">
          <cell r="F240" t="str">
            <v>Infeasible</v>
          </cell>
          <cell r="G240">
            <v>5559.1821702079997</v>
          </cell>
        </row>
        <row r="241">
          <cell r="F241" t="str">
            <v>Infeasible</v>
          </cell>
          <cell r="G241" t="str">
            <v>-</v>
          </cell>
        </row>
        <row r="245">
          <cell r="F245">
            <v>62091.684054999998</v>
          </cell>
          <cell r="G245">
            <v>27.7744813339995</v>
          </cell>
        </row>
        <row r="246">
          <cell r="F246">
            <v>107325.276164999</v>
          </cell>
          <cell r="G246">
            <v>33.676978874998802</v>
          </cell>
        </row>
        <row r="247">
          <cell r="F247">
            <v>140813.82011</v>
          </cell>
          <cell r="G247">
            <v>41.755534457999602</v>
          </cell>
        </row>
        <row r="248">
          <cell r="F248">
            <v>171577.044165</v>
          </cell>
          <cell r="G248">
            <v>59.267438582999603</v>
          </cell>
        </row>
        <row r="249">
          <cell r="F249">
            <v>198273.93622</v>
          </cell>
          <cell r="G249">
            <v>119.55376541699999</v>
          </cell>
        </row>
        <row r="250">
          <cell r="F250">
            <v>226130.48416499901</v>
          </cell>
          <cell r="G250">
            <v>1021.543511083</v>
          </cell>
        </row>
        <row r="251">
          <cell r="F251">
            <v>260423.06427499899</v>
          </cell>
          <cell r="G251">
            <v>1470.0103148329999</v>
          </cell>
        </row>
        <row r="252">
          <cell r="F252" t="str">
            <v>Infeasible</v>
          </cell>
          <cell r="G252" t="str">
            <v>-</v>
          </cell>
        </row>
        <row r="256">
          <cell r="F256">
            <v>81002.427499999903</v>
          </cell>
          <cell r="G256">
            <v>30.563066042001001</v>
          </cell>
        </row>
        <row r="257">
          <cell r="F257">
            <v>148925.73499999999</v>
          </cell>
          <cell r="G257">
            <v>52.033094541000501</v>
          </cell>
        </row>
        <row r="258">
          <cell r="F258">
            <v>191841.33199999901</v>
          </cell>
          <cell r="G258">
            <v>46.620155290998802</v>
          </cell>
        </row>
        <row r="259">
          <cell r="F259">
            <v>240059.09692499999</v>
          </cell>
          <cell r="G259">
            <v>93.442975334000906</v>
          </cell>
        </row>
        <row r="260">
          <cell r="F260">
            <v>268885.47899999999</v>
          </cell>
          <cell r="G260">
            <v>266.004207458998</v>
          </cell>
        </row>
        <row r="261">
          <cell r="F261">
            <v>313014.44049999898</v>
          </cell>
          <cell r="G261">
            <v>887.81593262499803</v>
          </cell>
        </row>
        <row r="262">
          <cell r="F262">
            <v>346131.87799999898</v>
          </cell>
          <cell r="G262">
            <v>2732.3385221669901</v>
          </cell>
        </row>
        <row r="263">
          <cell r="F263" t="str">
            <v>Infeasible</v>
          </cell>
          <cell r="G263" t="str">
            <v>-</v>
          </cell>
        </row>
        <row r="267">
          <cell r="F267" t="str">
            <v>Infeasible</v>
          </cell>
          <cell r="G267">
            <v>21.936419707999399</v>
          </cell>
        </row>
        <row r="268">
          <cell r="F268" t="str">
            <v>Infeasible</v>
          </cell>
          <cell r="G268">
            <v>29.450267583999398</v>
          </cell>
        </row>
        <row r="269">
          <cell r="F269" t="str">
            <v>Infeasible</v>
          </cell>
          <cell r="G269">
            <v>37.720849416000398</v>
          </cell>
        </row>
        <row r="270">
          <cell r="F270" t="str">
            <v>Infeasible</v>
          </cell>
          <cell r="G270">
            <v>68.543372041996903</v>
          </cell>
        </row>
        <row r="271">
          <cell r="F271" t="str">
            <v>Infeasible</v>
          </cell>
          <cell r="G271">
            <v>213.37521974999899</v>
          </cell>
        </row>
        <row r="272">
          <cell r="F272" t="str">
            <v>Infeasible</v>
          </cell>
          <cell r="G272">
            <v>517.13741424999898</v>
          </cell>
        </row>
        <row r="273">
          <cell r="F273" t="str">
            <v>Infeasible</v>
          </cell>
          <cell r="G273">
            <v>3580.5657200000001</v>
          </cell>
        </row>
        <row r="274">
          <cell r="F274" t="str">
            <v>Infeasible</v>
          </cell>
          <cell r="G274" t="str">
            <v>-</v>
          </cell>
        </row>
        <row r="278">
          <cell r="F278">
            <v>106551.73211</v>
          </cell>
          <cell r="G278">
            <v>24.840736417001601</v>
          </cell>
        </row>
        <row r="279">
          <cell r="F279">
            <v>114277.15216500001</v>
          </cell>
          <cell r="G279">
            <v>36.534873208998697</v>
          </cell>
        </row>
        <row r="280">
          <cell r="F280">
            <v>179388.864275</v>
          </cell>
          <cell r="G280">
            <v>47.254106000000299</v>
          </cell>
        </row>
        <row r="281">
          <cell r="F281">
            <v>189143.856165</v>
          </cell>
          <cell r="G281">
            <v>56.0508933749988</v>
          </cell>
        </row>
        <row r="282">
          <cell r="F282">
            <v>238699.212275</v>
          </cell>
          <cell r="G282">
            <v>111.76255341700001</v>
          </cell>
        </row>
        <row r="283">
          <cell r="F283">
            <v>239940.07221999901</v>
          </cell>
          <cell r="G283">
            <v>446.37044908300197</v>
          </cell>
        </row>
        <row r="284">
          <cell r="F284" t="str">
            <v>Infeasible</v>
          </cell>
        </row>
        <row r="285">
          <cell r="F285" t="str">
            <v>Infeasible</v>
          </cell>
          <cell r="G285" t="str">
            <v>-</v>
          </cell>
        </row>
        <row r="289">
          <cell r="F289" t="str">
            <v>Infeasible</v>
          </cell>
          <cell r="G289">
            <v>21.876517750002598</v>
          </cell>
        </row>
        <row r="290">
          <cell r="F290">
            <v>145193.07049999901</v>
          </cell>
          <cell r="G290">
            <v>53.042493041997602</v>
          </cell>
        </row>
        <row r="291">
          <cell r="F291">
            <v>232420.54374999899</v>
          </cell>
          <cell r="G291">
            <v>74.978441584000393</v>
          </cell>
        </row>
        <row r="292">
          <cell r="F292">
            <v>252591.59650000001</v>
          </cell>
          <cell r="G292">
            <v>83.257681041999604</v>
          </cell>
        </row>
        <row r="293">
          <cell r="F293">
            <v>316893.29225</v>
          </cell>
          <cell r="G293">
            <v>213.79828558400101</v>
          </cell>
        </row>
        <row r="294">
          <cell r="F294">
            <v>316577.68649999902</v>
          </cell>
          <cell r="G294">
            <v>1375.9251314999999</v>
          </cell>
        </row>
        <row r="295">
          <cell r="F295">
            <v>394500.01899999997</v>
          </cell>
          <cell r="G295">
            <v>2647.5562086249902</v>
          </cell>
        </row>
        <row r="296">
          <cell r="F296" t="str">
            <v>Infeasible</v>
          </cell>
          <cell r="G296" t="str">
            <v>-</v>
          </cell>
        </row>
        <row r="300">
          <cell r="F300" t="str">
            <v>Infeasible</v>
          </cell>
          <cell r="G300">
            <v>21.888353708</v>
          </cell>
        </row>
        <row r="301">
          <cell r="F301">
            <v>184851.576</v>
          </cell>
          <cell r="G301">
            <v>129.63186029100299</v>
          </cell>
        </row>
        <row r="302">
          <cell r="F302">
            <v>305242.882099977</v>
          </cell>
          <cell r="G302">
            <v>128.73917737499801</v>
          </cell>
        </row>
        <row r="303">
          <cell r="F303" t="str">
            <v>Infeasible</v>
          </cell>
          <cell r="G303">
            <v>208.489796541998</v>
          </cell>
        </row>
        <row r="304">
          <cell r="F304" t="str">
            <v>Infeasible</v>
          </cell>
          <cell r="G304">
            <v>327.75534212500099</v>
          </cell>
        </row>
        <row r="305">
          <cell r="F305" t="str">
            <v>Infeasible</v>
          </cell>
          <cell r="G305">
            <v>1432.7033128329999</v>
          </cell>
        </row>
        <row r="306">
          <cell r="F306" t="str">
            <v>Infeasible</v>
          </cell>
          <cell r="G306">
            <v>2051.7197040409901</v>
          </cell>
        </row>
        <row r="307">
          <cell r="F307" t="str">
            <v>Infeasible</v>
          </cell>
          <cell r="G307" t="str">
            <v>-</v>
          </cell>
        </row>
        <row r="311">
          <cell r="F311">
            <v>101388.564055</v>
          </cell>
          <cell r="G311">
            <v>24.010349291995201</v>
          </cell>
        </row>
        <row r="312">
          <cell r="F312">
            <v>166514.92816499999</v>
          </cell>
          <cell r="G312">
            <v>32.549132124993697</v>
          </cell>
        </row>
        <row r="313">
          <cell r="F313">
            <v>178637.35216499999</v>
          </cell>
          <cell r="G313">
            <v>44.9273179999945</v>
          </cell>
        </row>
        <row r="314">
          <cell r="F314">
            <v>231208.476165</v>
          </cell>
          <cell r="G314">
            <v>53.754840665998898</v>
          </cell>
        </row>
        <row r="315">
          <cell r="F315">
            <v>239652.76827500001</v>
          </cell>
          <cell r="G315">
            <v>67.303422707998806</v>
          </cell>
        </row>
        <row r="316">
          <cell r="F316">
            <v>296725.82438499999</v>
          </cell>
          <cell r="G316">
            <v>103.23519775</v>
          </cell>
        </row>
        <row r="317">
          <cell r="F317">
            <v>302516.95244000002</v>
          </cell>
          <cell r="G317">
            <v>432.79553699999798</v>
          </cell>
        </row>
        <row r="318">
          <cell r="F318">
            <v>328457.35243999999</v>
          </cell>
          <cell r="G318">
            <v>5713.19691241699</v>
          </cell>
        </row>
        <row r="322">
          <cell r="F322" t="str">
            <v>Infeasible</v>
          </cell>
          <cell r="G322">
            <v>21.092587625003901</v>
          </cell>
        </row>
        <row r="323">
          <cell r="F323" t="str">
            <v>Infeasible</v>
          </cell>
          <cell r="G323">
            <v>28.714466291996299</v>
          </cell>
        </row>
        <row r="324">
          <cell r="F324">
            <v>239461.26449999999</v>
          </cell>
          <cell r="G324">
            <v>69.497870541999802</v>
          </cell>
        </row>
        <row r="325">
          <cell r="F325">
            <v>316076.43724999903</v>
          </cell>
          <cell r="G325">
            <v>106.02574091699999</v>
          </cell>
        </row>
        <row r="326">
          <cell r="F326">
            <v>331197.29649999901</v>
          </cell>
          <cell r="G326">
            <v>115.253447334005</v>
          </cell>
        </row>
        <row r="327">
          <cell r="F327">
            <v>393651.00899999897</v>
          </cell>
          <cell r="G327">
            <v>223.80069924999401</v>
          </cell>
        </row>
        <row r="328">
          <cell r="F328">
            <v>401361.85174999997</v>
          </cell>
          <cell r="G328">
            <v>1372.17312904199</v>
          </cell>
        </row>
        <row r="329">
          <cell r="F329">
            <v>429850.09024999902</v>
          </cell>
          <cell r="G329">
            <v>9124.2306779169994</v>
          </cell>
        </row>
        <row r="333">
          <cell r="F333" t="str">
            <v>Infeasible</v>
          </cell>
          <cell r="G333">
            <v>21.327504166998501</v>
          </cell>
        </row>
        <row r="334">
          <cell r="F334" t="str">
            <v>Infeasible</v>
          </cell>
          <cell r="G334">
            <v>28.782894000003498</v>
          </cell>
        </row>
        <row r="335">
          <cell r="F335" t="str">
            <v>Infeasible</v>
          </cell>
          <cell r="G335">
            <v>73.550819124997304</v>
          </cell>
        </row>
        <row r="336">
          <cell r="F336" t="str">
            <v>Infeasible</v>
          </cell>
          <cell r="G336">
            <v>203.66031562499799</v>
          </cell>
        </row>
        <row r="337">
          <cell r="F337">
            <v>401553.7904</v>
          </cell>
          <cell r="G337">
            <v>226.578564875002</v>
          </cell>
        </row>
        <row r="338">
          <cell r="F338" t="str">
            <v>Infeasible</v>
          </cell>
          <cell r="G338">
            <v>354.62450529200498</v>
          </cell>
        </row>
        <row r="339">
          <cell r="F339" t="str">
            <v>Infeasible</v>
          </cell>
          <cell r="G339">
            <v>1347.325460625</v>
          </cell>
        </row>
        <row r="340">
          <cell r="F340" t="str">
            <v>Infeasible</v>
          </cell>
          <cell r="G340">
            <v>11775.757305542</v>
          </cell>
        </row>
        <row r="352">
          <cell r="F352">
            <v>45047.16</v>
          </cell>
          <cell r="G352">
            <v>21.303289167000901</v>
          </cell>
        </row>
        <row r="353">
          <cell r="F353">
            <v>70318.980054999905</v>
          </cell>
          <cell r="G353">
            <v>24.197576666992902</v>
          </cell>
        </row>
        <row r="354">
          <cell r="F354">
            <v>98933.748055000004</v>
          </cell>
          <cell r="G354">
            <v>29.628538249991799</v>
          </cell>
        </row>
        <row r="355">
          <cell r="F355">
            <v>108756.86410999999</v>
          </cell>
          <cell r="G355">
            <v>40.206577709002801</v>
          </cell>
        </row>
        <row r="356">
          <cell r="F356">
            <v>129115.764054999</v>
          </cell>
          <cell r="G356">
            <v>84.346949709011795</v>
          </cell>
        </row>
        <row r="357">
          <cell r="F357">
            <v>140463.56416499999</v>
          </cell>
          <cell r="G357">
            <v>199.71434120800399</v>
          </cell>
        </row>
        <row r="358">
          <cell r="F358">
            <v>169613.55616499999</v>
          </cell>
          <cell r="G358">
            <v>1089.17730733299</v>
          </cell>
        </row>
        <row r="359">
          <cell r="F359">
            <v>193340.78416499999</v>
          </cell>
          <cell r="G359">
            <v>1348.3713286670099</v>
          </cell>
        </row>
        <row r="363">
          <cell r="F363">
            <v>55370.467499999999</v>
          </cell>
          <cell r="G363">
            <v>20.238690291007501</v>
          </cell>
        </row>
        <row r="364">
          <cell r="F364">
            <v>86433.7462499994</v>
          </cell>
          <cell r="G364">
            <v>24.6120517500094</v>
          </cell>
        </row>
        <row r="365">
          <cell r="F365">
            <v>123129.297749986</v>
          </cell>
          <cell r="G365">
            <v>29.874563582998199</v>
          </cell>
        </row>
        <row r="366">
          <cell r="F366">
            <v>137336.394499986</v>
          </cell>
          <cell r="G366">
            <v>60.724989875001398</v>
          </cell>
        </row>
        <row r="367">
          <cell r="F367">
            <v>163221.58249999999</v>
          </cell>
          <cell r="G367">
            <v>163.63294895899801</v>
          </cell>
        </row>
        <row r="368">
          <cell r="F368">
            <v>179967.67049999101</v>
          </cell>
          <cell r="G368">
            <v>389.12090279199703</v>
          </cell>
        </row>
        <row r="369">
          <cell r="F369">
            <v>215229.25649999999</v>
          </cell>
          <cell r="G369">
            <v>1266.4958434579801</v>
          </cell>
        </row>
        <row r="370">
          <cell r="F370">
            <v>246202.25049999999</v>
          </cell>
          <cell r="G370">
            <v>2459.38092787499</v>
          </cell>
        </row>
        <row r="374">
          <cell r="F374">
            <v>59499.790499999901</v>
          </cell>
          <cell r="G374">
            <v>19.9567582910094</v>
          </cell>
        </row>
        <row r="375">
          <cell r="F375">
            <v>98314.348299999794</v>
          </cell>
          <cell r="G375">
            <v>24.077675207998201</v>
          </cell>
        </row>
        <row r="376">
          <cell r="F376">
            <v>146710.15184999901</v>
          </cell>
          <cell r="G376">
            <v>31.715048875004801</v>
          </cell>
        </row>
        <row r="377">
          <cell r="F377">
            <v>169110.05339999899</v>
          </cell>
          <cell r="G377">
            <v>59.7696593750006</v>
          </cell>
        </row>
        <row r="378">
          <cell r="F378">
            <v>201834.45474999899</v>
          </cell>
          <cell r="G378">
            <v>172.32039374999201</v>
          </cell>
        </row>
        <row r="379">
          <cell r="F379">
            <v>218648.91139999899</v>
          </cell>
          <cell r="G379">
            <v>351.38930283300499</v>
          </cell>
        </row>
        <row r="380">
          <cell r="F380">
            <v>256236.647499999</v>
          </cell>
          <cell r="G380">
            <v>990.27257224998903</v>
          </cell>
        </row>
        <row r="381">
          <cell r="F381">
            <v>297924.12874999898</v>
          </cell>
          <cell r="G381">
            <v>2384.3124603329902</v>
          </cell>
        </row>
        <row r="385">
          <cell r="F385">
            <v>38622.156000000003</v>
          </cell>
          <cell r="G385">
            <v>14.916541624988801</v>
          </cell>
        </row>
        <row r="386">
          <cell r="F386">
            <v>70962.432054999896</v>
          </cell>
          <cell r="G386">
            <v>24.530928541993401</v>
          </cell>
        </row>
        <row r="387">
          <cell r="F387">
            <v>88285.872109999997</v>
          </cell>
          <cell r="G387">
            <v>29.1393937910033</v>
          </cell>
        </row>
        <row r="388">
          <cell r="F388">
            <v>111762.780109999</v>
          </cell>
          <cell r="G388">
            <v>52.777675582998199</v>
          </cell>
        </row>
        <row r="389">
          <cell r="F389">
            <v>132165.52805499901</v>
          </cell>
          <cell r="G389">
            <v>157.327331082982</v>
          </cell>
        </row>
        <row r="390">
          <cell r="F390">
            <v>144676.32010999901</v>
          </cell>
          <cell r="G390">
            <v>565.29553279202003</v>
          </cell>
        </row>
        <row r="391">
          <cell r="F391">
            <v>170338.36822</v>
          </cell>
          <cell r="G391">
            <v>1743.9649051250001</v>
          </cell>
        </row>
        <row r="392">
          <cell r="F392">
            <v>189584.32805499999</v>
          </cell>
          <cell r="G392">
            <v>15077.1495339999</v>
          </cell>
        </row>
        <row r="396">
          <cell r="F396">
            <v>47473.066749972502</v>
          </cell>
          <cell r="G396">
            <v>14.924956125003501</v>
          </cell>
        </row>
        <row r="397">
          <cell r="F397">
            <v>89362.668499999199</v>
          </cell>
          <cell r="G397">
            <v>27.322370040987099</v>
          </cell>
        </row>
        <row r="398">
          <cell r="F398">
            <v>131458.51949999999</v>
          </cell>
          <cell r="G398">
            <v>36.727830209012602</v>
          </cell>
        </row>
        <row r="399">
          <cell r="F399">
            <v>141240.64574999901</v>
          </cell>
          <cell r="G399">
            <v>146.033168458001</v>
          </cell>
        </row>
        <row r="400">
          <cell r="F400">
            <v>168123.50899999999</v>
          </cell>
          <cell r="G400">
            <v>441.34163116698602</v>
          </cell>
        </row>
        <row r="401">
          <cell r="F401">
            <v>183494.02674999999</v>
          </cell>
          <cell r="G401">
            <v>1391.90255324999</v>
          </cell>
        </row>
        <row r="402">
          <cell r="F402">
            <v>215009.673249985</v>
          </cell>
          <cell r="G402">
            <v>3255.5283064169898</v>
          </cell>
        </row>
        <row r="403">
          <cell r="F403">
            <v>241503.50524999999</v>
          </cell>
          <cell r="G403">
            <v>11013.757390499901</v>
          </cell>
        </row>
        <row r="407">
          <cell r="F407" t="str">
            <v>Infeasible</v>
          </cell>
          <cell r="G407">
            <v>13.6912092920101</v>
          </cell>
        </row>
        <row r="408">
          <cell r="F408" t="str">
            <v>Infeasible</v>
          </cell>
          <cell r="G408">
            <v>19.141671041987099</v>
          </cell>
        </row>
        <row r="409">
          <cell r="F409" t="str">
            <v>Infeasible</v>
          </cell>
          <cell r="G409">
            <v>28.3588562909862</v>
          </cell>
        </row>
        <row r="410">
          <cell r="F410">
            <v>171799.46554999999</v>
          </cell>
          <cell r="G410">
            <v>161.82619933300799</v>
          </cell>
        </row>
        <row r="411">
          <cell r="F411">
            <v>201105.13284999999</v>
          </cell>
          <cell r="G411">
            <v>383.85533224997903</v>
          </cell>
        </row>
        <row r="412">
          <cell r="F412">
            <v>227384.781549999</v>
          </cell>
          <cell r="G412">
            <v>1262.5975148330001</v>
          </cell>
        </row>
        <row r="413">
          <cell r="F413">
            <v>246984.66965</v>
          </cell>
          <cell r="G413">
            <v>2838.2161893329999</v>
          </cell>
        </row>
        <row r="414">
          <cell r="F414" t="str">
            <v>Infeasible</v>
          </cell>
          <cell r="G414" t="str">
            <v>-</v>
          </cell>
        </row>
        <row r="418">
          <cell r="F418">
            <v>38500.2599999999</v>
          </cell>
          <cell r="G418">
            <v>18.986387292010399</v>
          </cell>
        </row>
        <row r="419">
          <cell r="F419">
            <v>64509.840055000001</v>
          </cell>
          <cell r="G419">
            <v>22.885559332993498</v>
          </cell>
        </row>
        <row r="420">
          <cell r="F420">
            <v>88037.640054999996</v>
          </cell>
          <cell r="G420">
            <v>27.2650036670092</v>
          </cell>
        </row>
        <row r="421">
          <cell r="F421">
            <v>106011.56411000001</v>
          </cell>
          <cell r="G421">
            <v>38.633261374983697</v>
          </cell>
        </row>
        <row r="422">
          <cell r="F422">
            <v>122736.57610999999</v>
          </cell>
          <cell r="G422">
            <v>103.738292582973</v>
          </cell>
        </row>
        <row r="423">
          <cell r="F423">
            <v>130549.608216066</v>
          </cell>
          <cell r="G423">
            <v>218.05113841700901</v>
          </cell>
        </row>
        <row r="424">
          <cell r="F424">
            <v>161818.164271213</v>
          </cell>
          <cell r="G424">
            <v>1739.42517666702</v>
          </cell>
        </row>
        <row r="425">
          <cell r="F425" t="str">
            <v>Infeasible</v>
          </cell>
          <cell r="G425" t="str">
            <v>-</v>
          </cell>
        </row>
        <row r="429">
          <cell r="F429">
            <v>47323.2362499999</v>
          </cell>
          <cell r="G429">
            <v>18.4824750840198</v>
          </cell>
        </row>
        <row r="430">
          <cell r="F430">
            <v>79293.344999999899</v>
          </cell>
          <cell r="G430">
            <v>22.6286055420059</v>
          </cell>
        </row>
        <row r="431">
          <cell r="F431">
            <v>117750.798749999</v>
          </cell>
          <cell r="G431">
            <v>27.731051292008399</v>
          </cell>
        </row>
        <row r="432">
          <cell r="F432">
            <v>133976.16749998799</v>
          </cell>
          <cell r="G432">
            <v>58.967848375003001</v>
          </cell>
        </row>
        <row r="433">
          <cell r="F433">
            <v>154583.93824998799</v>
          </cell>
          <cell r="G433">
            <v>230.03201216700799</v>
          </cell>
        </row>
        <row r="434">
          <cell r="F434">
            <v>167739.77299999999</v>
          </cell>
          <cell r="G434">
            <v>458.206829917005</v>
          </cell>
        </row>
        <row r="435">
          <cell r="F435">
            <v>201506.54974999899</v>
          </cell>
          <cell r="G435">
            <v>2556.5171463339898</v>
          </cell>
        </row>
        <row r="436">
          <cell r="F436" t="str">
            <v>Infeasible</v>
          </cell>
          <cell r="G436" t="str">
            <v>-</v>
          </cell>
        </row>
        <row r="440">
          <cell r="F440">
            <v>54855.058949999999</v>
          </cell>
          <cell r="G440">
            <v>21.1743581660266</v>
          </cell>
        </row>
        <row r="441">
          <cell r="F441">
            <v>103388.947699999</v>
          </cell>
          <cell r="G441">
            <v>25.772834041999801</v>
          </cell>
        </row>
        <row r="442">
          <cell r="F442">
            <v>139888.28015000001</v>
          </cell>
          <cell r="G442">
            <v>28.2918351249827</v>
          </cell>
        </row>
        <row r="443">
          <cell r="F443">
            <v>167896.38719999901</v>
          </cell>
          <cell r="G443">
            <v>89.095633666991404</v>
          </cell>
        </row>
        <row r="444">
          <cell r="F444">
            <v>193915.68379999901</v>
          </cell>
          <cell r="G444">
            <v>267.98170508298699</v>
          </cell>
        </row>
        <row r="445">
          <cell r="F445">
            <v>210587.12590000001</v>
          </cell>
          <cell r="G445">
            <v>449.47010608401598</v>
          </cell>
        </row>
        <row r="446">
          <cell r="F446">
            <v>234140.21004999999</v>
          </cell>
          <cell r="G446">
            <v>2061.485062833</v>
          </cell>
        </row>
        <row r="447">
          <cell r="F447" t="str">
            <v>Infeasible</v>
          </cell>
          <cell r="G447" t="str">
            <v>-</v>
          </cell>
        </row>
        <row r="451">
          <cell r="F451">
            <v>55719.228055</v>
          </cell>
          <cell r="G451">
            <v>16.6174197090149</v>
          </cell>
        </row>
        <row r="452">
          <cell r="F452">
            <v>68436.335999999996</v>
          </cell>
          <cell r="G452">
            <v>23.198062374984101</v>
          </cell>
        </row>
        <row r="453">
          <cell r="F453">
            <v>107375.820109999</v>
          </cell>
          <cell r="G453">
            <v>28.910651582991701</v>
          </cell>
        </row>
        <row r="454">
          <cell r="F454">
            <v>127845.888054999</v>
          </cell>
          <cell r="G454">
            <v>36.902154792012801</v>
          </cell>
        </row>
        <row r="455">
          <cell r="F455">
            <v>142512.22810999901</v>
          </cell>
          <cell r="G455">
            <v>62.7582841659896</v>
          </cell>
        </row>
        <row r="456">
          <cell r="F456">
            <v>148294.02010999899</v>
          </cell>
          <cell r="G456">
            <v>346.01938270800702</v>
          </cell>
        </row>
        <row r="457">
          <cell r="F457">
            <v>180286.28422</v>
          </cell>
          <cell r="G457">
            <v>853.43342241601204</v>
          </cell>
        </row>
        <row r="458">
          <cell r="F458" t="str">
            <v>Infeasible</v>
          </cell>
          <cell r="G458" t="str">
            <v>-</v>
          </cell>
        </row>
        <row r="462">
          <cell r="F462">
            <v>68488.217749999894</v>
          </cell>
          <cell r="G462">
            <v>16.444467624998602</v>
          </cell>
        </row>
        <row r="463">
          <cell r="F463">
            <v>84119.663</v>
          </cell>
          <cell r="G463">
            <v>24.788394624978501</v>
          </cell>
        </row>
        <row r="464">
          <cell r="F464">
            <v>136465.03824999899</v>
          </cell>
          <cell r="G464">
            <v>33.030234000005201</v>
          </cell>
        </row>
        <row r="465">
          <cell r="F465">
            <v>165737.23924999899</v>
          </cell>
          <cell r="G465">
            <v>46.650729291985002</v>
          </cell>
        </row>
        <row r="466">
          <cell r="F466">
            <v>186050.71799999999</v>
          </cell>
          <cell r="G466">
            <v>105.219519209</v>
          </cell>
        </row>
        <row r="467">
          <cell r="F467">
            <v>185952.55674999999</v>
          </cell>
          <cell r="G467">
            <v>853.90222754198396</v>
          </cell>
        </row>
        <row r="468">
          <cell r="F468">
            <v>227677.84349999999</v>
          </cell>
          <cell r="G468">
            <v>1345.5037930830099</v>
          </cell>
        </row>
        <row r="469">
          <cell r="F469" t="str">
            <v>Infeasible</v>
          </cell>
          <cell r="G469" t="str">
            <v>-</v>
          </cell>
        </row>
        <row r="473">
          <cell r="F473">
            <v>79231.915150000001</v>
          </cell>
          <cell r="G473">
            <v>18.374971874989502</v>
          </cell>
        </row>
        <row r="474">
          <cell r="F474">
            <v>91576.418199999898</v>
          </cell>
          <cell r="G474">
            <v>25.250838459003699</v>
          </cell>
        </row>
        <row r="475">
          <cell r="F475">
            <v>158793.36764999901</v>
          </cell>
          <cell r="G475">
            <v>31.3165241670212</v>
          </cell>
        </row>
        <row r="476">
          <cell r="F476">
            <v>197160.923749999</v>
          </cell>
          <cell r="G476">
            <v>46.472915874997803</v>
          </cell>
        </row>
        <row r="477">
          <cell r="F477">
            <v>224485.80069999999</v>
          </cell>
          <cell r="G477">
            <v>98.455538209003805</v>
          </cell>
        </row>
        <row r="478">
          <cell r="F478">
            <v>224840.0165</v>
          </cell>
          <cell r="G478">
            <v>870.87133145800897</v>
          </cell>
        </row>
        <row r="479">
          <cell r="F479">
            <v>267080.13969999901</v>
          </cell>
          <cell r="G479">
            <v>1150.08056645799</v>
          </cell>
        </row>
        <row r="480">
          <cell r="F480" t="str">
            <v>Infeasible</v>
          </cell>
          <cell r="G480" t="str">
            <v>-</v>
          </cell>
        </row>
        <row r="484">
          <cell r="F484">
            <v>62281.812055000002</v>
          </cell>
          <cell r="G484">
            <v>16.198478582984499</v>
          </cell>
        </row>
        <row r="485">
          <cell r="F485">
            <v>94057.368219999902</v>
          </cell>
          <cell r="G485">
            <v>21.8320733339933</v>
          </cell>
        </row>
        <row r="486">
          <cell r="F486">
            <v>115277.04011</v>
          </cell>
          <cell r="G486">
            <v>26.947245624993201</v>
          </cell>
        </row>
        <row r="487">
          <cell r="F487">
            <v>132866.60421999899</v>
          </cell>
          <cell r="G487">
            <v>33.866987499990501</v>
          </cell>
        </row>
        <row r="488">
          <cell r="F488">
            <v>152307.10810999901</v>
          </cell>
          <cell r="G488">
            <v>45.338995707978</v>
          </cell>
        </row>
        <row r="489">
          <cell r="F489">
            <v>176633.96410999901</v>
          </cell>
          <cell r="G489">
            <v>76.9485491669911</v>
          </cell>
        </row>
        <row r="490">
          <cell r="F490">
            <v>183012.75610999999</v>
          </cell>
          <cell r="G490">
            <v>359.82374079199502</v>
          </cell>
        </row>
        <row r="491">
          <cell r="F491">
            <v>199826.18416500001</v>
          </cell>
          <cell r="G491">
            <v>5295.3246880829902</v>
          </cell>
        </row>
        <row r="495">
          <cell r="F495">
            <v>76692.344749999902</v>
          </cell>
          <cell r="G495">
            <v>15.0985609999916</v>
          </cell>
        </row>
        <row r="496">
          <cell r="F496">
            <v>128975.51924999899</v>
          </cell>
          <cell r="G496">
            <v>24.569550583982998</v>
          </cell>
        </row>
        <row r="497">
          <cell r="F497">
            <v>146377.42174999899</v>
          </cell>
          <cell r="G497">
            <v>28.806364707998</v>
          </cell>
        </row>
        <row r="498">
          <cell r="F498">
            <v>170174.408</v>
          </cell>
          <cell r="G498">
            <v>40.0804634579981</v>
          </cell>
        </row>
        <row r="499">
          <cell r="F499">
            <v>197472.23299999899</v>
          </cell>
          <cell r="G499">
            <v>78.168775208003296</v>
          </cell>
        </row>
        <row r="500">
          <cell r="F500">
            <v>222581.821749986</v>
          </cell>
          <cell r="G500">
            <v>160.949017542006</v>
          </cell>
        </row>
        <row r="501">
          <cell r="F501">
            <v>232574.07649999901</v>
          </cell>
          <cell r="G501">
            <v>847.76200633301005</v>
          </cell>
        </row>
        <row r="502">
          <cell r="F502">
            <v>255728.434749999</v>
          </cell>
          <cell r="G502">
            <v>6226.7822444169997</v>
          </cell>
        </row>
        <row r="506">
          <cell r="F506" t="str">
            <v>Infeasible</v>
          </cell>
          <cell r="G506">
            <v>14.070536332990701</v>
          </cell>
        </row>
        <row r="507">
          <cell r="F507" t="str">
            <v>Infeasible</v>
          </cell>
          <cell r="G507">
            <v>18.4089990840002</v>
          </cell>
        </row>
        <row r="508">
          <cell r="F508" t="str">
            <v>Infeasible</v>
          </cell>
          <cell r="G508">
            <v>38.266515249997603</v>
          </cell>
        </row>
        <row r="509">
          <cell r="F509">
            <v>204910.74954999899</v>
          </cell>
          <cell r="G509">
            <v>43.379263165988903</v>
          </cell>
        </row>
        <row r="510">
          <cell r="F510">
            <v>255712.77329999901</v>
          </cell>
          <cell r="G510">
            <v>70.242886459018294</v>
          </cell>
        </row>
        <row r="511">
          <cell r="F511">
            <v>265366.18409999798</v>
          </cell>
          <cell r="G511">
            <v>146.73961400002</v>
          </cell>
        </row>
        <row r="512">
          <cell r="F512">
            <v>284519.19729999901</v>
          </cell>
          <cell r="G512">
            <v>738.25537437500304</v>
          </cell>
        </row>
        <row r="513">
          <cell r="F513">
            <v>307394.75735000003</v>
          </cell>
          <cell r="G513">
            <v>5050.2621983749796</v>
          </cell>
        </row>
      </sheetData>
      <sheetData sheetId="10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C27A03-77EE-574D-B9D4-4AB29CE1CDCB}">
  <dimension ref="A2:N513"/>
  <sheetViews>
    <sheetView tabSelected="1" zoomScale="75" workbookViewId="0">
      <selection activeCell="C8" sqref="C8"/>
    </sheetView>
  </sheetViews>
  <sheetFormatPr baseColWidth="10" defaultRowHeight="16" x14ac:dyDescent="0.2"/>
  <cols>
    <col min="1" max="1" width="21.5" style="14" customWidth="1"/>
    <col min="2" max="2" width="20" style="14" customWidth="1"/>
    <col min="3" max="5" width="10.83203125" style="14"/>
    <col min="6" max="6" width="15" style="14" customWidth="1"/>
    <col min="7" max="7" width="10.83203125" style="14"/>
    <col min="8" max="8" width="15.5" style="14" customWidth="1"/>
    <col min="9" max="9" width="10.83203125" style="14"/>
    <col min="10" max="10" width="16.5" style="14" customWidth="1"/>
    <col min="11" max="11" width="10.83203125" style="14"/>
    <col min="12" max="12" width="15.6640625" style="14" customWidth="1"/>
    <col min="13" max="14" width="10.83203125" style="14"/>
  </cols>
  <sheetData>
    <row r="2" spans="1:14" ht="27" x14ac:dyDescent="0.35">
      <c r="A2" s="75" t="s">
        <v>1</v>
      </c>
    </row>
    <row r="3" spans="1:14" x14ac:dyDescent="0.2">
      <c r="E3" s="3" t="s">
        <v>8</v>
      </c>
      <c r="F3" s="3"/>
      <c r="G3" s="3" t="s">
        <v>17</v>
      </c>
      <c r="H3" s="3"/>
      <c r="I3" s="3" t="s">
        <v>18</v>
      </c>
      <c r="J3" s="3"/>
      <c r="K3" s="3" t="s">
        <v>19</v>
      </c>
      <c r="L3" s="3"/>
      <c r="M3" s="3" t="s">
        <v>20</v>
      </c>
      <c r="N3" s="3"/>
    </row>
    <row r="4" spans="1:14" x14ac:dyDescent="0.2">
      <c r="A4" s="14" t="s">
        <v>2</v>
      </c>
      <c r="B4" s="14" t="s">
        <v>3</v>
      </c>
      <c r="C4" s="14" t="s">
        <v>4</v>
      </c>
      <c r="D4" s="14" t="s">
        <v>5</v>
      </c>
      <c r="E4" s="14" t="s">
        <v>6</v>
      </c>
      <c r="F4" s="14" t="s">
        <v>7</v>
      </c>
      <c r="G4" s="14" t="s">
        <v>6</v>
      </c>
      <c r="H4" s="14" t="s">
        <v>7</v>
      </c>
      <c r="I4" s="14" t="s">
        <v>6</v>
      </c>
      <c r="J4" s="14" t="s">
        <v>7</v>
      </c>
      <c r="K4" s="14" t="s">
        <v>6</v>
      </c>
      <c r="L4" s="14" t="s">
        <v>7</v>
      </c>
      <c r="M4" s="14" t="s">
        <v>6</v>
      </c>
      <c r="N4" s="14" t="s">
        <v>7</v>
      </c>
    </row>
    <row r="5" spans="1:14" x14ac:dyDescent="0.2">
      <c r="A5" s="64" t="s">
        <v>9</v>
      </c>
      <c r="B5" s="64" t="s">
        <v>288</v>
      </c>
      <c r="C5" s="64">
        <v>4</v>
      </c>
      <c r="D5" s="64">
        <v>1</v>
      </c>
      <c r="E5" s="65">
        <v>45047.16</v>
      </c>
      <c r="F5" s="65">
        <v>17.66</v>
      </c>
      <c r="G5" s="14">
        <v>45047.16</v>
      </c>
      <c r="H5" s="14">
        <v>17.559999999999999</v>
      </c>
      <c r="I5" s="14">
        <v>45047.16</v>
      </c>
      <c r="J5" s="14">
        <v>17.559999999999999</v>
      </c>
      <c r="K5" s="6">
        <v>45047.16</v>
      </c>
      <c r="L5" s="6">
        <v>17.8</v>
      </c>
      <c r="M5" s="6">
        <v>45047.16</v>
      </c>
      <c r="N5" s="6">
        <v>17.63</v>
      </c>
    </row>
    <row r="6" spans="1:14" x14ac:dyDescent="0.2">
      <c r="A6" s="64" t="s">
        <v>9</v>
      </c>
      <c r="B6" s="64" t="s">
        <v>288</v>
      </c>
      <c r="C6" s="64">
        <v>6</v>
      </c>
      <c r="D6" s="64">
        <v>1</v>
      </c>
      <c r="E6" s="65">
        <v>70318.98</v>
      </c>
      <c r="F6" s="65">
        <v>27.5</v>
      </c>
      <c r="G6" s="14">
        <v>70318.98</v>
      </c>
      <c r="H6" s="6">
        <v>27.56</v>
      </c>
      <c r="I6" s="14">
        <v>70318.98</v>
      </c>
      <c r="J6" s="6">
        <v>27.56</v>
      </c>
      <c r="K6" s="6">
        <v>70318.98</v>
      </c>
      <c r="L6" s="6">
        <v>27.27</v>
      </c>
      <c r="M6" s="6">
        <v>70318.98</v>
      </c>
      <c r="N6" s="6">
        <v>28.01</v>
      </c>
    </row>
    <row r="7" spans="1:14" x14ac:dyDescent="0.2">
      <c r="A7" s="64" t="s">
        <v>9</v>
      </c>
      <c r="B7" s="64" t="s">
        <v>288</v>
      </c>
      <c r="C7" s="64">
        <v>8</v>
      </c>
      <c r="D7" s="64">
        <v>1</v>
      </c>
      <c r="E7" s="65">
        <v>98933.75</v>
      </c>
      <c r="F7" s="65">
        <v>33.36</v>
      </c>
      <c r="G7" s="14">
        <v>98933.75</v>
      </c>
      <c r="H7" s="6">
        <v>32.950000000000003</v>
      </c>
      <c r="I7" s="14">
        <v>98933.75</v>
      </c>
      <c r="J7" s="6">
        <v>32.950000000000003</v>
      </c>
      <c r="K7" s="6">
        <v>98933.75</v>
      </c>
      <c r="L7" s="6">
        <v>34</v>
      </c>
      <c r="M7" s="6">
        <v>98933.75</v>
      </c>
      <c r="N7" s="6">
        <v>39.6</v>
      </c>
    </row>
    <row r="8" spans="1:14" x14ac:dyDescent="0.2">
      <c r="A8" s="64" t="s">
        <v>9</v>
      </c>
      <c r="B8" s="64" t="s">
        <v>288</v>
      </c>
      <c r="C8" s="64">
        <v>10</v>
      </c>
      <c r="D8" s="64">
        <v>1</v>
      </c>
      <c r="E8" s="65">
        <v>108756.86</v>
      </c>
      <c r="F8" s="65">
        <v>35.700000000000003</v>
      </c>
      <c r="G8" s="14">
        <v>108756.86</v>
      </c>
      <c r="H8" s="6">
        <v>37.68</v>
      </c>
      <c r="I8" s="14">
        <v>108756.86</v>
      </c>
      <c r="J8" s="6">
        <v>37.68</v>
      </c>
      <c r="K8" s="6">
        <v>108756.86</v>
      </c>
      <c r="L8" s="6">
        <v>36.35</v>
      </c>
      <c r="M8" s="6">
        <v>108756.86</v>
      </c>
      <c r="N8" s="6">
        <v>37.119999999999997</v>
      </c>
    </row>
    <row r="9" spans="1:14" x14ac:dyDescent="0.2">
      <c r="A9" s="64" t="s">
        <v>9</v>
      </c>
      <c r="B9" s="64" t="s">
        <v>288</v>
      </c>
      <c r="C9" s="64">
        <v>12</v>
      </c>
      <c r="D9" s="64">
        <v>1</v>
      </c>
      <c r="E9" s="65">
        <v>129148.88</v>
      </c>
      <c r="F9" s="65">
        <v>54.59</v>
      </c>
      <c r="G9" s="14">
        <v>132828.64000000001</v>
      </c>
      <c r="H9" s="14">
        <v>54.53</v>
      </c>
      <c r="I9" s="14">
        <v>132828.64000000001</v>
      </c>
      <c r="J9" s="14">
        <v>54.53</v>
      </c>
      <c r="K9" s="6">
        <v>129148.88</v>
      </c>
      <c r="L9" s="6">
        <v>54.01</v>
      </c>
      <c r="M9" s="6">
        <v>132828.64000000001</v>
      </c>
      <c r="N9" s="6">
        <v>52.1</v>
      </c>
    </row>
    <row r="10" spans="1:14" x14ac:dyDescent="0.2">
      <c r="A10" s="64" t="s">
        <v>9</v>
      </c>
      <c r="B10" s="64" t="s">
        <v>288</v>
      </c>
      <c r="C10" s="64">
        <v>14</v>
      </c>
      <c r="D10" s="64">
        <v>1</v>
      </c>
      <c r="E10" s="65">
        <v>140401.96</v>
      </c>
      <c r="F10" s="65">
        <v>52.29</v>
      </c>
      <c r="G10" s="14">
        <v>140401.96</v>
      </c>
      <c r="H10" s="14">
        <v>52.54</v>
      </c>
      <c r="I10" s="14">
        <v>140401.96</v>
      </c>
      <c r="J10" s="14">
        <v>52.54</v>
      </c>
      <c r="K10" s="6">
        <v>140401.96</v>
      </c>
      <c r="L10" s="6">
        <v>56.29</v>
      </c>
      <c r="M10" s="6">
        <v>140401.96</v>
      </c>
      <c r="N10" s="6">
        <v>55.06</v>
      </c>
    </row>
    <row r="11" spans="1:14" x14ac:dyDescent="0.2">
      <c r="A11" s="64" t="s">
        <v>9</v>
      </c>
      <c r="B11" s="64" t="s">
        <v>288</v>
      </c>
      <c r="C11" s="64">
        <v>16</v>
      </c>
      <c r="D11" s="64">
        <v>1</v>
      </c>
      <c r="E11" s="65">
        <v>169573.33</v>
      </c>
      <c r="F11" s="65">
        <v>79.77</v>
      </c>
      <c r="G11" s="14">
        <v>169573.33</v>
      </c>
      <c r="H11" s="14">
        <v>73.180000000000007</v>
      </c>
      <c r="I11" s="14">
        <v>169573.33</v>
      </c>
      <c r="J11" s="14">
        <v>73.180000000000007</v>
      </c>
      <c r="K11" s="6">
        <v>169573.33</v>
      </c>
      <c r="L11" s="6">
        <v>76.84</v>
      </c>
      <c r="M11" s="6">
        <v>169573.33</v>
      </c>
      <c r="N11" s="6">
        <v>75.41</v>
      </c>
    </row>
    <row r="12" spans="1:14" x14ac:dyDescent="0.2">
      <c r="A12" s="64" t="s">
        <v>9</v>
      </c>
      <c r="B12" s="64" t="s">
        <v>288</v>
      </c>
      <c r="C12" s="64">
        <v>18</v>
      </c>
      <c r="D12" s="64">
        <v>1</v>
      </c>
      <c r="E12" s="65">
        <v>197236.46</v>
      </c>
      <c r="F12" s="65">
        <v>76.72</v>
      </c>
      <c r="G12" s="14">
        <v>193498.88</v>
      </c>
      <c r="H12" s="6">
        <v>63.29</v>
      </c>
      <c r="I12" s="14">
        <v>193498.88</v>
      </c>
      <c r="J12" s="6">
        <v>63.29</v>
      </c>
      <c r="K12" s="6">
        <v>193583.08</v>
      </c>
      <c r="L12" s="6">
        <v>65.239999999999995</v>
      </c>
      <c r="M12" s="6">
        <v>193498.88</v>
      </c>
      <c r="N12" s="6">
        <v>70.8</v>
      </c>
    </row>
    <row r="13" spans="1:14" x14ac:dyDescent="0.2">
      <c r="A13" s="64" t="s">
        <v>9</v>
      </c>
      <c r="B13" s="64" t="s">
        <v>288</v>
      </c>
      <c r="C13" s="64">
        <v>20</v>
      </c>
      <c r="D13" s="64">
        <v>1</v>
      </c>
      <c r="E13" s="65">
        <v>207887.75</v>
      </c>
      <c r="F13" s="65">
        <v>125.58</v>
      </c>
      <c r="G13" s="14">
        <v>207887.75</v>
      </c>
      <c r="H13" s="6">
        <v>122.03</v>
      </c>
      <c r="I13" s="14">
        <v>207887.75</v>
      </c>
      <c r="J13" s="6">
        <v>122.03</v>
      </c>
      <c r="K13" s="6">
        <v>207887.75</v>
      </c>
      <c r="L13" s="6">
        <v>109.84</v>
      </c>
      <c r="M13" s="6">
        <v>207887.75</v>
      </c>
      <c r="N13" s="6">
        <v>114.23</v>
      </c>
    </row>
    <row r="14" spans="1:14" x14ac:dyDescent="0.2">
      <c r="A14" s="64" t="s">
        <v>9</v>
      </c>
      <c r="B14" s="64" t="s">
        <v>288</v>
      </c>
      <c r="C14" s="64">
        <v>22</v>
      </c>
      <c r="D14" s="64">
        <v>1</v>
      </c>
      <c r="E14" s="65">
        <v>226389.53</v>
      </c>
      <c r="F14" s="65">
        <v>143.86000000000001</v>
      </c>
      <c r="G14" s="14">
        <v>226366.13</v>
      </c>
      <c r="H14" s="6">
        <v>162.32</v>
      </c>
      <c r="I14" s="14">
        <v>226366.13</v>
      </c>
      <c r="J14" s="6">
        <v>162.32</v>
      </c>
      <c r="K14" s="6">
        <v>226366.13</v>
      </c>
      <c r="L14" s="6">
        <v>156.83000000000001</v>
      </c>
      <c r="M14" s="6">
        <v>226663.24</v>
      </c>
      <c r="N14" s="6">
        <v>148.18</v>
      </c>
    </row>
    <row r="15" spans="1:14" x14ac:dyDescent="0.2">
      <c r="A15" s="64"/>
      <c r="B15" s="64"/>
      <c r="C15" s="64"/>
      <c r="D15" s="64"/>
      <c r="E15" s="65"/>
      <c r="F15" s="65"/>
      <c r="H15" s="6"/>
      <c r="J15" s="6"/>
      <c r="K15" s="6"/>
      <c r="L15" s="6"/>
      <c r="M15" s="6"/>
      <c r="N15" s="6"/>
    </row>
    <row r="16" spans="1:14" x14ac:dyDescent="0.2">
      <c r="A16" s="64" t="s">
        <v>9</v>
      </c>
      <c r="B16" s="64" t="s">
        <v>288</v>
      </c>
      <c r="C16" s="64">
        <v>4</v>
      </c>
      <c r="D16" s="64">
        <v>0.5</v>
      </c>
      <c r="E16" s="65">
        <v>55370.47</v>
      </c>
      <c r="F16" s="65">
        <v>17.86</v>
      </c>
      <c r="G16" s="14">
        <v>55370.47</v>
      </c>
      <c r="H16" s="6">
        <v>17.559999999999999</v>
      </c>
      <c r="I16" s="14">
        <v>55370.47</v>
      </c>
      <c r="J16" s="6">
        <v>17.559999999999999</v>
      </c>
      <c r="K16" s="6">
        <v>55370.47</v>
      </c>
      <c r="L16" s="6">
        <v>17.95</v>
      </c>
      <c r="M16" s="6">
        <v>55370.47</v>
      </c>
      <c r="N16" s="6">
        <v>17.649999999999999</v>
      </c>
    </row>
    <row r="17" spans="1:14" x14ac:dyDescent="0.2">
      <c r="A17" s="64" t="s">
        <v>9</v>
      </c>
      <c r="B17" s="64" t="s">
        <v>288</v>
      </c>
      <c r="C17" s="64">
        <v>6</v>
      </c>
      <c r="D17" s="64">
        <v>0.5</v>
      </c>
      <c r="E17" s="65">
        <v>86433.75</v>
      </c>
      <c r="F17" s="65">
        <v>28.17</v>
      </c>
      <c r="G17" s="14">
        <v>86433.75</v>
      </c>
      <c r="H17" s="6">
        <v>26.75</v>
      </c>
      <c r="I17" s="14">
        <v>86433.75</v>
      </c>
      <c r="J17" s="6">
        <v>26.75</v>
      </c>
      <c r="K17" s="6">
        <v>86433.75</v>
      </c>
      <c r="L17" s="6">
        <v>28.29</v>
      </c>
      <c r="M17" s="6">
        <v>86433.75</v>
      </c>
      <c r="N17" s="6">
        <v>28.75</v>
      </c>
    </row>
    <row r="18" spans="1:14" x14ac:dyDescent="0.2">
      <c r="A18" s="64" t="s">
        <v>9</v>
      </c>
      <c r="B18" s="64" t="s">
        <v>288</v>
      </c>
      <c r="C18" s="64">
        <v>8</v>
      </c>
      <c r="D18" s="64">
        <v>0.5</v>
      </c>
      <c r="E18" s="65">
        <v>123112.67</v>
      </c>
      <c r="F18" s="65">
        <v>43.74</v>
      </c>
      <c r="G18" s="14">
        <v>123112.67</v>
      </c>
      <c r="H18" s="6">
        <v>44.09</v>
      </c>
      <c r="I18" s="14">
        <v>123112.67</v>
      </c>
      <c r="J18" s="6">
        <v>44.09</v>
      </c>
      <c r="K18" s="6">
        <v>123112.67</v>
      </c>
      <c r="L18" s="6">
        <v>39.5</v>
      </c>
      <c r="M18" s="6">
        <v>123112.67</v>
      </c>
      <c r="N18" s="6">
        <v>46.45</v>
      </c>
    </row>
    <row r="19" spans="1:14" x14ac:dyDescent="0.2">
      <c r="A19" s="64" t="s">
        <v>9</v>
      </c>
      <c r="B19" s="64" t="s">
        <v>288</v>
      </c>
      <c r="C19" s="64">
        <v>10</v>
      </c>
      <c r="D19" s="64">
        <v>0.5</v>
      </c>
      <c r="E19" s="65">
        <v>135955.74</v>
      </c>
      <c r="F19" s="65">
        <v>52.42</v>
      </c>
      <c r="G19" s="14">
        <v>135955.74</v>
      </c>
      <c r="H19" s="6">
        <v>47.43</v>
      </c>
      <c r="I19" s="14">
        <v>135955.74</v>
      </c>
      <c r="J19" s="6">
        <v>47.43</v>
      </c>
      <c r="K19" s="6">
        <v>135955.74</v>
      </c>
      <c r="L19" s="6">
        <v>50.66</v>
      </c>
      <c r="M19" s="6">
        <v>135955.74</v>
      </c>
      <c r="N19" s="6">
        <v>50.89</v>
      </c>
    </row>
    <row r="20" spans="1:14" x14ac:dyDescent="0.2">
      <c r="A20" s="64" t="s">
        <v>9</v>
      </c>
      <c r="B20" s="64" t="s">
        <v>288</v>
      </c>
      <c r="C20" s="64">
        <v>12</v>
      </c>
      <c r="D20" s="64">
        <v>0.5</v>
      </c>
      <c r="E20" s="65">
        <v>162576.29999999999</v>
      </c>
      <c r="F20" s="65">
        <v>72.180000000000007</v>
      </c>
      <c r="G20" s="14">
        <v>165543.96</v>
      </c>
      <c r="H20" s="6">
        <v>70.150000000000006</v>
      </c>
      <c r="I20" s="14">
        <v>165543.96</v>
      </c>
      <c r="J20" s="6">
        <v>70.150000000000006</v>
      </c>
      <c r="K20" s="6">
        <v>162576.29999999999</v>
      </c>
      <c r="L20" s="6">
        <v>87.43</v>
      </c>
      <c r="M20" s="6">
        <v>162630.9</v>
      </c>
      <c r="N20" s="6">
        <v>81.540000000000006</v>
      </c>
    </row>
    <row r="21" spans="1:14" x14ac:dyDescent="0.2">
      <c r="A21" s="64" t="s">
        <v>9</v>
      </c>
      <c r="B21" s="64" t="s">
        <v>288</v>
      </c>
      <c r="C21" s="64">
        <v>14</v>
      </c>
      <c r="D21" s="64">
        <v>0.5</v>
      </c>
      <c r="E21" s="65">
        <v>176626.28</v>
      </c>
      <c r="F21" s="65">
        <v>76.62</v>
      </c>
      <c r="G21" s="14">
        <v>176626.28</v>
      </c>
      <c r="H21" s="6">
        <v>79.55</v>
      </c>
      <c r="I21" s="14">
        <v>176626.28</v>
      </c>
      <c r="J21" s="6">
        <v>79.55</v>
      </c>
      <c r="K21" s="6">
        <v>176626.28</v>
      </c>
      <c r="L21" s="6">
        <v>69.47</v>
      </c>
      <c r="M21" s="6">
        <v>176626.28</v>
      </c>
      <c r="N21" s="6">
        <v>76.27</v>
      </c>
    </row>
    <row r="22" spans="1:14" x14ac:dyDescent="0.2">
      <c r="A22" s="64" t="s">
        <v>9</v>
      </c>
      <c r="B22" s="64" t="s">
        <v>288</v>
      </c>
      <c r="C22" s="64">
        <v>16</v>
      </c>
      <c r="D22" s="64">
        <v>0.5</v>
      </c>
      <c r="E22" s="65">
        <v>213725.15</v>
      </c>
      <c r="F22" s="65">
        <v>140.54</v>
      </c>
      <c r="G22" s="14">
        <v>213725.15</v>
      </c>
      <c r="H22" s="14">
        <v>190.62</v>
      </c>
      <c r="I22" s="14">
        <v>213725.15</v>
      </c>
      <c r="J22" s="14">
        <v>190.62</v>
      </c>
      <c r="K22" s="6">
        <v>213725.15</v>
      </c>
      <c r="L22" s="6">
        <v>204.68</v>
      </c>
      <c r="M22" s="6">
        <v>213725.15</v>
      </c>
      <c r="N22" s="6">
        <v>166.61</v>
      </c>
    </row>
    <row r="23" spans="1:14" x14ac:dyDescent="0.2">
      <c r="A23" s="64" t="s">
        <v>9</v>
      </c>
      <c r="B23" s="64" t="s">
        <v>288</v>
      </c>
      <c r="C23" s="64">
        <v>18</v>
      </c>
      <c r="D23" s="64">
        <v>0.5</v>
      </c>
      <c r="E23" s="65">
        <v>243544.98</v>
      </c>
      <c r="F23" s="65">
        <v>114.28</v>
      </c>
      <c r="G23" s="14">
        <v>247750.32</v>
      </c>
      <c r="H23" s="6">
        <v>128.16</v>
      </c>
      <c r="I23" s="14">
        <v>247750.32</v>
      </c>
      <c r="J23" s="6">
        <v>128.16</v>
      </c>
      <c r="K23" s="6">
        <v>243610.59</v>
      </c>
      <c r="L23" s="6">
        <v>115.77</v>
      </c>
      <c r="M23" s="6">
        <v>247989.29</v>
      </c>
      <c r="N23" s="6">
        <v>117.07</v>
      </c>
    </row>
    <row r="24" spans="1:14" x14ac:dyDescent="0.2">
      <c r="A24" s="64" t="s">
        <v>9</v>
      </c>
      <c r="B24" s="64" t="s">
        <v>288</v>
      </c>
      <c r="C24" s="64">
        <v>20</v>
      </c>
      <c r="D24" s="64">
        <v>0.5</v>
      </c>
      <c r="E24" s="65">
        <v>260945.83</v>
      </c>
      <c r="F24" s="65">
        <v>190.52</v>
      </c>
      <c r="G24" s="14">
        <v>260945.83</v>
      </c>
      <c r="H24" s="6">
        <v>195.15</v>
      </c>
      <c r="I24" s="14">
        <v>260945.83</v>
      </c>
      <c r="J24" s="6">
        <v>195.15</v>
      </c>
      <c r="K24" s="6">
        <v>260945.83</v>
      </c>
      <c r="L24" s="6">
        <v>161.18</v>
      </c>
      <c r="M24" s="6">
        <v>260945.83</v>
      </c>
      <c r="N24" s="6">
        <v>202.43</v>
      </c>
    </row>
    <row r="25" spans="1:14" x14ac:dyDescent="0.2">
      <c r="A25" s="64" t="s">
        <v>9</v>
      </c>
      <c r="B25" s="64" t="s">
        <v>288</v>
      </c>
      <c r="C25" s="64">
        <v>22</v>
      </c>
      <c r="D25" s="64">
        <v>0.5</v>
      </c>
      <c r="E25" s="65">
        <v>283485</v>
      </c>
      <c r="F25" s="65">
        <v>169.28</v>
      </c>
      <c r="G25" s="14">
        <v>282575.43</v>
      </c>
      <c r="H25" s="6">
        <v>162.68</v>
      </c>
      <c r="I25" s="14">
        <v>282575.43</v>
      </c>
      <c r="J25" s="6">
        <v>162.68</v>
      </c>
      <c r="K25" s="6">
        <v>282612.09000000003</v>
      </c>
      <c r="L25" s="6">
        <v>157.62</v>
      </c>
      <c r="M25" s="6">
        <v>283208.05</v>
      </c>
      <c r="N25" s="6">
        <v>183.39</v>
      </c>
    </row>
    <row r="26" spans="1:14" x14ac:dyDescent="0.2">
      <c r="E26" s="65"/>
      <c r="F26" s="65"/>
      <c r="H26" s="6"/>
      <c r="J26" s="6"/>
      <c r="K26" s="6"/>
      <c r="L26" s="6"/>
      <c r="M26" s="6"/>
      <c r="N26" s="6"/>
    </row>
    <row r="27" spans="1:14" x14ac:dyDescent="0.2">
      <c r="A27" s="64" t="s">
        <v>9</v>
      </c>
      <c r="B27" s="64" t="s">
        <v>288</v>
      </c>
      <c r="C27" s="64">
        <v>4</v>
      </c>
      <c r="D27" s="64">
        <v>0.3</v>
      </c>
      <c r="E27" s="65">
        <v>59499.79</v>
      </c>
      <c r="F27" s="65">
        <v>17.61</v>
      </c>
      <c r="G27" s="14">
        <v>59499.79</v>
      </c>
      <c r="H27" s="6">
        <v>17.59</v>
      </c>
      <c r="I27" s="14">
        <v>59499.79</v>
      </c>
      <c r="J27" s="6">
        <v>17.59</v>
      </c>
      <c r="K27" s="6">
        <v>59499.79</v>
      </c>
      <c r="L27" s="6">
        <v>17.7</v>
      </c>
      <c r="M27" s="6">
        <v>59499.79</v>
      </c>
      <c r="N27" s="6">
        <v>18.350000000000001</v>
      </c>
    </row>
    <row r="28" spans="1:14" x14ac:dyDescent="0.2">
      <c r="A28" s="64" t="s">
        <v>9</v>
      </c>
      <c r="B28" s="64" t="s">
        <v>288</v>
      </c>
      <c r="C28" s="64">
        <v>6</v>
      </c>
      <c r="D28" s="64">
        <v>0.3</v>
      </c>
      <c r="E28" s="65">
        <v>98041.93</v>
      </c>
      <c r="F28" s="65">
        <v>28.12</v>
      </c>
      <c r="G28" s="14">
        <v>98041.93</v>
      </c>
      <c r="H28" s="6">
        <v>36.770000000000003</v>
      </c>
      <c r="I28" s="14">
        <v>98041.93</v>
      </c>
      <c r="J28" s="6">
        <v>36.770000000000003</v>
      </c>
      <c r="K28" s="6">
        <v>98041.93</v>
      </c>
      <c r="L28" s="6">
        <v>27.03</v>
      </c>
      <c r="M28" s="6">
        <v>98041.93</v>
      </c>
      <c r="N28" s="6">
        <v>34.979999999999997</v>
      </c>
    </row>
    <row r="29" spans="1:14" x14ac:dyDescent="0.2">
      <c r="A29" s="64" t="s">
        <v>9</v>
      </c>
      <c r="B29" s="64" t="s">
        <v>288</v>
      </c>
      <c r="C29" s="64">
        <v>8</v>
      </c>
      <c r="D29" s="64">
        <v>0.3</v>
      </c>
      <c r="E29" s="65">
        <v>142569.78</v>
      </c>
      <c r="F29" s="65">
        <v>68.03</v>
      </c>
      <c r="G29" s="14">
        <v>142569.78</v>
      </c>
      <c r="H29" s="6">
        <v>62.82</v>
      </c>
      <c r="I29" s="14">
        <v>142569.78</v>
      </c>
      <c r="J29" s="6">
        <v>62.82</v>
      </c>
      <c r="K29" s="6">
        <v>142569.78</v>
      </c>
      <c r="L29" s="6">
        <v>66.94</v>
      </c>
      <c r="M29" s="6">
        <v>142569.78</v>
      </c>
      <c r="N29" s="6">
        <v>63.54</v>
      </c>
    </row>
    <row r="30" spans="1:14" x14ac:dyDescent="0.2">
      <c r="A30" s="64" t="s">
        <v>9</v>
      </c>
      <c r="B30" s="64" t="s">
        <v>288</v>
      </c>
      <c r="C30" s="64">
        <v>10</v>
      </c>
      <c r="D30" s="64">
        <v>0.3</v>
      </c>
      <c r="E30" s="65">
        <v>164711.65</v>
      </c>
      <c r="F30" s="65">
        <v>138.35</v>
      </c>
      <c r="G30" s="14">
        <v>168762.73</v>
      </c>
      <c r="H30" s="6">
        <v>99.41</v>
      </c>
      <c r="I30" s="14">
        <v>168762.73</v>
      </c>
      <c r="J30" s="6">
        <v>99.41</v>
      </c>
      <c r="K30" s="6">
        <v>164711.65</v>
      </c>
      <c r="L30" s="6">
        <v>112.05</v>
      </c>
      <c r="M30" s="6">
        <v>164711.65</v>
      </c>
      <c r="N30" s="6">
        <v>132.11000000000001</v>
      </c>
    </row>
    <row r="31" spans="1:14" x14ac:dyDescent="0.2">
      <c r="A31" s="64" t="s">
        <v>9</v>
      </c>
      <c r="B31" s="64" t="s">
        <v>288</v>
      </c>
      <c r="C31" s="64">
        <v>12</v>
      </c>
      <c r="D31" s="64">
        <v>0.3</v>
      </c>
      <c r="E31" s="65">
        <v>193779.56</v>
      </c>
      <c r="F31" s="65">
        <v>228.83</v>
      </c>
      <c r="G31" s="14">
        <v>195252.55</v>
      </c>
      <c r="H31" s="6">
        <v>250.01</v>
      </c>
      <c r="I31" s="14">
        <v>195252.55</v>
      </c>
      <c r="J31" s="6">
        <v>250.01</v>
      </c>
      <c r="K31" s="6">
        <v>194777.08</v>
      </c>
      <c r="L31" s="6">
        <v>225.78</v>
      </c>
      <c r="M31" s="6">
        <v>193779.56</v>
      </c>
      <c r="N31" s="6">
        <v>224.09</v>
      </c>
    </row>
    <row r="32" spans="1:14" x14ac:dyDescent="0.2">
      <c r="A32" s="64" t="s">
        <v>9</v>
      </c>
      <c r="B32" s="64" t="s">
        <v>288</v>
      </c>
      <c r="C32" s="64">
        <v>14</v>
      </c>
      <c r="D32" s="64">
        <v>0.3</v>
      </c>
      <c r="E32" s="65">
        <v>213125.47</v>
      </c>
      <c r="F32" s="65">
        <v>317.24</v>
      </c>
      <c r="G32" s="14">
        <v>212767.24</v>
      </c>
      <c r="H32" s="6">
        <v>332.56</v>
      </c>
      <c r="I32" s="14">
        <v>212767.24</v>
      </c>
      <c r="J32" s="6">
        <v>332.56</v>
      </c>
      <c r="K32" s="6">
        <v>215189.78</v>
      </c>
      <c r="L32" s="6">
        <v>291.19</v>
      </c>
      <c r="M32" s="6">
        <v>215189.78</v>
      </c>
      <c r="N32" s="6">
        <v>307.45</v>
      </c>
    </row>
    <row r="33" spans="1:14" x14ac:dyDescent="0.2">
      <c r="A33" s="64" t="s">
        <v>9</v>
      </c>
      <c r="B33" s="64" t="s">
        <v>288</v>
      </c>
      <c r="C33" s="64">
        <v>16</v>
      </c>
      <c r="D33" s="64">
        <v>0.3</v>
      </c>
      <c r="E33" s="65">
        <v>253813.06</v>
      </c>
      <c r="F33" s="65">
        <v>433.99</v>
      </c>
      <c r="G33" s="14">
        <v>251748.42</v>
      </c>
      <c r="H33" s="6">
        <v>497.5</v>
      </c>
      <c r="I33" s="14">
        <v>251748.42</v>
      </c>
      <c r="J33" s="6">
        <v>497.5</v>
      </c>
      <c r="K33" s="6">
        <v>251748.42</v>
      </c>
      <c r="L33" s="6">
        <v>418.71</v>
      </c>
      <c r="M33" s="6">
        <v>251238.64</v>
      </c>
      <c r="N33" s="6">
        <v>416.59</v>
      </c>
    </row>
    <row r="34" spans="1:14" x14ac:dyDescent="0.2">
      <c r="A34" s="64" t="s">
        <v>9</v>
      </c>
      <c r="B34" s="64" t="s">
        <v>288</v>
      </c>
      <c r="C34" s="64">
        <v>18</v>
      </c>
      <c r="D34" s="64">
        <v>0.3</v>
      </c>
      <c r="E34" s="65">
        <v>289411.84000000003</v>
      </c>
      <c r="F34" s="65">
        <v>322.97000000000003</v>
      </c>
      <c r="G34" s="14">
        <v>288303.19</v>
      </c>
      <c r="H34" s="14">
        <v>294.66000000000003</v>
      </c>
      <c r="I34" s="14">
        <v>288303.19</v>
      </c>
      <c r="J34" s="14">
        <v>294.66000000000003</v>
      </c>
      <c r="K34" s="6">
        <v>291795.19</v>
      </c>
      <c r="L34" s="6">
        <v>263.29000000000002</v>
      </c>
      <c r="M34" s="6">
        <v>286954.40999999997</v>
      </c>
      <c r="N34" s="6">
        <v>249.48</v>
      </c>
    </row>
    <row r="35" spans="1:14" x14ac:dyDescent="0.2">
      <c r="A35" s="64" t="s">
        <v>9</v>
      </c>
      <c r="B35" s="64" t="s">
        <v>288</v>
      </c>
      <c r="C35" s="64">
        <v>20</v>
      </c>
      <c r="D35" s="64">
        <v>0.3</v>
      </c>
      <c r="E35" s="65">
        <v>307388.96000000002</v>
      </c>
      <c r="F35" s="65">
        <v>671.07</v>
      </c>
      <c r="G35" s="14">
        <v>307490.25</v>
      </c>
      <c r="H35" s="6">
        <v>554.87</v>
      </c>
      <c r="I35" s="14">
        <v>307490.25</v>
      </c>
      <c r="J35" s="6">
        <v>554.87</v>
      </c>
      <c r="K35" s="6">
        <v>304375.36</v>
      </c>
      <c r="L35" s="6">
        <v>413.9</v>
      </c>
      <c r="M35" s="6">
        <v>308685.88</v>
      </c>
      <c r="N35" s="6">
        <v>442.19</v>
      </c>
    </row>
    <row r="36" spans="1:14" x14ac:dyDescent="0.2">
      <c r="A36" s="64" t="s">
        <v>9</v>
      </c>
      <c r="B36" s="64" t="s">
        <v>288</v>
      </c>
      <c r="C36" s="64">
        <v>22</v>
      </c>
      <c r="D36" s="64">
        <v>0.3</v>
      </c>
      <c r="E36" s="65">
        <v>329553.98</v>
      </c>
      <c r="F36" s="65">
        <v>408.71</v>
      </c>
      <c r="G36" s="14">
        <v>326825.68</v>
      </c>
      <c r="H36" s="6">
        <v>335.9</v>
      </c>
      <c r="I36" s="14">
        <v>326825.68</v>
      </c>
      <c r="J36" s="6">
        <v>335.9</v>
      </c>
      <c r="K36" s="6">
        <v>326931.53000000003</v>
      </c>
      <c r="L36" s="6">
        <v>503.35</v>
      </c>
      <c r="M36" s="6">
        <v>329392.89</v>
      </c>
      <c r="N36" s="6">
        <v>383.58</v>
      </c>
    </row>
    <row r="37" spans="1:14" x14ac:dyDescent="0.2">
      <c r="A37" s="66"/>
      <c r="B37" s="66"/>
      <c r="C37" s="66"/>
      <c r="D37" s="66"/>
      <c r="E37" s="5"/>
      <c r="F37" s="5"/>
      <c r="G37" s="66"/>
      <c r="H37" s="66">
        <v>38622.160000000003</v>
      </c>
      <c r="I37" s="66"/>
      <c r="J37" s="66">
        <v>38622.160000000003</v>
      </c>
      <c r="K37" s="67"/>
      <c r="L37" s="67"/>
      <c r="M37" s="66"/>
      <c r="N37" s="66"/>
    </row>
    <row r="38" spans="1:14" x14ac:dyDescent="0.2">
      <c r="A38" s="64" t="s">
        <v>10</v>
      </c>
      <c r="B38" s="64" t="s">
        <v>288</v>
      </c>
      <c r="C38" s="64">
        <v>4</v>
      </c>
      <c r="D38" s="64">
        <v>1</v>
      </c>
      <c r="E38" s="65">
        <v>38622.160000000003</v>
      </c>
      <c r="F38" s="65">
        <v>14.88</v>
      </c>
      <c r="G38" s="14">
        <v>38622.160000000003</v>
      </c>
      <c r="H38" s="6">
        <v>14.6</v>
      </c>
      <c r="I38" s="14">
        <v>38622.160000000003</v>
      </c>
      <c r="J38" s="6">
        <v>14.6</v>
      </c>
      <c r="K38" s="6">
        <v>38622.160000000003</v>
      </c>
      <c r="L38" s="6">
        <v>14.93</v>
      </c>
      <c r="M38" s="6">
        <v>38622.160000000003</v>
      </c>
      <c r="N38" s="6">
        <v>14.76</v>
      </c>
    </row>
    <row r="39" spans="1:14" x14ac:dyDescent="0.2">
      <c r="A39" s="64" t="s">
        <v>10</v>
      </c>
      <c r="B39" s="64" t="s">
        <v>288</v>
      </c>
      <c r="C39" s="64">
        <v>6</v>
      </c>
      <c r="D39" s="64">
        <v>1</v>
      </c>
      <c r="E39" s="6">
        <v>70962.429999999993</v>
      </c>
      <c r="F39" s="6">
        <v>21.19</v>
      </c>
      <c r="G39" s="14">
        <v>70962.429999999993</v>
      </c>
      <c r="H39" s="6">
        <v>21.18</v>
      </c>
      <c r="I39" s="14">
        <v>70962.429999999993</v>
      </c>
      <c r="J39" s="6">
        <v>21.18</v>
      </c>
      <c r="K39" s="6">
        <v>70962.429999999993</v>
      </c>
      <c r="L39" s="6">
        <v>21.52</v>
      </c>
      <c r="M39" s="6">
        <v>70962.429999999993</v>
      </c>
      <c r="N39" s="6">
        <v>21.6</v>
      </c>
    </row>
    <row r="40" spans="1:14" x14ac:dyDescent="0.2">
      <c r="A40" s="64" t="s">
        <v>10</v>
      </c>
      <c r="B40" s="64" t="s">
        <v>288</v>
      </c>
      <c r="C40" s="64">
        <v>8</v>
      </c>
      <c r="D40" s="64">
        <v>1</v>
      </c>
      <c r="E40" s="6">
        <v>88320.24</v>
      </c>
      <c r="F40" s="6">
        <v>27.77</v>
      </c>
      <c r="G40" s="14">
        <v>88320.24</v>
      </c>
      <c r="H40" s="6">
        <v>28.48</v>
      </c>
      <c r="I40" s="14">
        <v>88320.24</v>
      </c>
      <c r="J40" s="6">
        <v>28.48</v>
      </c>
      <c r="K40" s="6">
        <v>88320.24</v>
      </c>
      <c r="L40" s="6">
        <v>27.72</v>
      </c>
      <c r="M40" s="6">
        <v>88320.24</v>
      </c>
      <c r="N40" s="6">
        <v>29.27</v>
      </c>
    </row>
    <row r="41" spans="1:14" x14ac:dyDescent="0.2">
      <c r="A41" s="64" t="s">
        <v>10</v>
      </c>
      <c r="B41" s="64" t="s">
        <v>288</v>
      </c>
      <c r="C41" s="64">
        <v>10</v>
      </c>
      <c r="D41" s="64">
        <v>1</v>
      </c>
      <c r="E41" s="6">
        <v>111788.54</v>
      </c>
      <c r="F41" s="6">
        <v>34.35</v>
      </c>
      <c r="G41" s="14">
        <v>111788.54</v>
      </c>
      <c r="H41" s="6">
        <v>38.07</v>
      </c>
      <c r="I41" s="14">
        <v>111788.54</v>
      </c>
      <c r="J41" s="6">
        <v>38.07</v>
      </c>
      <c r="K41" s="6">
        <v>111788.54</v>
      </c>
      <c r="L41" s="6">
        <v>36.74</v>
      </c>
      <c r="M41" s="6">
        <v>111788.54</v>
      </c>
      <c r="N41" s="6">
        <v>39.56</v>
      </c>
    </row>
    <row r="42" spans="1:14" x14ac:dyDescent="0.2">
      <c r="A42" s="64" t="s">
        <v>10</v>
      </c>
      <c r="B42" s="64" t="s">
        <v>288</v>
      </c>
      <c r="C42" s="64">
        <v>12</v>
      </c>
      <c r="D42" s="64">
        <v>1</v>
      </c>
      <c r="E42" s="6">
        <v>132215.35999999999</v>
      </c>
      <c r="F42" s="6">
        <v>48.16</v>
      </c>
      <c r="G42" s="14">
        <v>132215.35999999999</v>
      </c>
      <c r="H42" s="6">
        <v>42.4</v>
      </c>
      <c r="I42" s="14">
        <v>132215.35999999999</v>
      </c>
      <c r="J42" s="6">
        <v>42.4</v>
      </c>
      <c r="K42" s="6">
        <v>132215.35999999999</v>
      </c>
      <c r="L42" s="6">
        <v>46.46</v>
      </c>
      <c r="M42" s="6">
        <v>132215.35999999999</v>
      </c>
      <c r="N42" s="6">
        <v>47.71</v>
      </c>
    </row>
    <row r="43" spans="1:14" x14ac:dyDescent="0.2">
      <c r="A43" s="64" t="s">
        <v>10</v>
      </c>
      <c r="B43" s="64" t="s">
        <v>288</v>
      </c>
      <c r="C43" s="64">
        <v>14</v>
      </c>
      <c r="D43" s="64">
        <v>1</v>
      </c>
      <c r="E43" s="6">
        <v>144711.01</v>
      </c>
      <c r="F43" s="6">
        <v>75.03</v>
      </c>
      <c r="G43" s="14">
        <v>144711.01</v>
      </c>
      <c r="H43" s="14">
        <v>64.66</v>
      </c>
      <c r="I43" s="14">
        <v>144711.01</v>
      </c>
      <c r="J43" s="14">
        <v>64.66</v>
      </c>
      <c r="K43" s="6">
        <v>144711.01</v>
      </c>
      <c r="L43" s="6">
        <v>69.95</v>
      </c>
      <c r="M43" s="6">
        <v>144711.01</v>
      </c>
      <c r="N43" s="6">
        <v>70.55</v>
      </c>
    </row>
    <row r="44" spans="1:14" x14ac:dyDescent="0.2">
      <c r="A44" s="64" t="s">
        <v>10</v>
      </c>
      <c r="B44" s="64" t="s">
        <v>288</v>
      </c>
      <c r="C44" s="64">
        <v>16</v>
      </c>
      <c r="D44" s="64">
        <v>1</v>
      </c>
      <c r="E44" s="6">
        <v>170393.94</v>
      </c>
      <c r="F44" s="6">
        <v>86.53</v>
      </c>
      <c r="G44" s="14">
        <v>170393.94</v>
      </c>
      <c r="H44" s="14">
        <v>83.11</v>
      </c>
      <c r="I44" s="14">
        <v>170393.94</v>
      </c>
      <c r="J44" s="14">
        <v>83.11</v>
      </c>
      <c r="K44" s="6">
        <v>170393.94</v>
      </c>
      <c r="L44" s="6">
        <v>84.46</v>
      </c>
      <c r="M44" s="6">
        <v>170393.94</v>
      </c>
      <c r="N44" s="6">
        <v>84.55</v>
      </c>
    </row>
    <row r="45" spans="1:14" x14ac:dyDescent="0.2">
      <c r="A45" s="64" t="s">
        <v>10</v>
      </c>
      <c r="B45" s="64" t="s">
        <v>288</v>
      </c>
      <c r="C45" s="64">
        <v>18</v>
      </c>
      <c r="D45" s="64">
        <v>1</v>
      </c>
      <c r="E45" s="6">
        <v>189689.77</v>
      </c>
      <c r="F45" s="6">
        <v>69.7</v>
      </c>
      <c r="G45" s="14">
        <v>191328.07</v>
      </c>
      <c r="H45" s="14">
        <v>83.21</v>
      </c>
      <c r="I45" s="14">
        <v>191328.07</v>
      </c>
      <c r="J45" s="14">
        <v>83.21</v>
      </c>
      <c r="K45" s="6">
        <v>191328.07</v>
      </c>
      <c r="L45" s="6">
        <v>88.59</v>
      </c>
      <c r="M45" s="6">
        <v>190505.59</v>
      </c>
      <c r="N45" s="6">
        <v>81.83</v>
      </c>
    </row>
    <row r="46" spans="1:14" x14ac:dyDescent="0.2">
      <c r="A46" s="64" t="s">
        <v>10</v>
      </c>
      <c r="B46" s="64" t="s">
        <v>288</v>
      </c>
      <c r="C46" s="64">
        <v>20</v>
      </c>
      <c r="D46" s="64">
        <v>1</v>
      </c>
      <c r="E46" s="6">
        <v>207572.63</v>
      </c>
      <c r="F46" s="6">
        <v>104.02</v>
      </c>
      <c r="G46" s="14">
        <v>206325.59</v>
      </c>
      <c r="H46" s="14">
        <v>100.42</v>
      </c>
      <c r="I46" s="14">
        <v>206325.59</v>
      </c>
      <c r="J46" s="14">
        <v>100.42</v>
      </c>
      <c r="K46" s="6">
        <v>206325.59</v>
      </c>
      <c r="L46" s="6">
        <v>108.37</v>
      </c>
      <c r="M46" s="6">
        <v>206325.59</v>
      </c>
      <c r="N46" s="6">
        <v>89.54</v>
      </c>
    </row>
    <row r="47" spans="1:14" x14ac:dyDescent="0.2">
      <c r="A47" s="64" t="s">
        <v>10</v>
      </c>
      <c r="B47" s="64" t="s">
        <v>288</v>
      </c>
      <c r="C47" s="64">
        <v>22</v>
      </c>
      <c r="D47" s="64">
        <v>1</v>
      </c>
      <c r="E47" s="6">
        <v>229117.33</v>
      </c>
      <c r="F47" s="6">
        <v>107.24</v>
      </c>
      <c r="G47" s="14">
        <v>229117.33</v>
      </c>
      <c r="H47" s="6">
        <v>108.3</v>
      </c>
      <c r="I47" s="14">
        <v>229117.33</v>
      </c>
      <c r="J47" s="6">
        <v>108.3</v>
      </c>
      <c r="K47" s="6">
        <v>229117.33</v>
      </c>
      <c r="L47" s="6">
        <v>96.35</v>
      </c>
      <c r="M47" s="6">
        <v>229117.33</v>
      </c>
      <c r="N47" s="6">
        <v>100.98</v>
      </c>
    </row>
    <row r="48" spans="1:14" x14ac:dyDescent="0.2">
      <c r="A48" s="64"/>
      <c r="B48" s="64"/>
      <c r="C48" s="64"/>
      <c r="D48" s="64"/>
      <c r="E48" s="6"/>
      <c r="F48" s="6"/>
      <c r="K48" s="6"/>
      <c r="L48" s="6"/>
      <c r="M48" s="6"/>
      <c r="N48" s="6"/>
    </row>
    <row r="49" spans="1:14" x14ac:dyDescent="0.2">
      <c r="A49" s="64" t="s">
        <v>10</v>
      </c>
      <c r="B49" s="64" t="s">
        <v>288</v>
      </c>
      <c r="C49" s="64">
        <v>4</v>
      </c>
      <c r="D49" s="64">
        <v>0.5</v>
      </c>
      <c r="E49" s="6">
        <v>47473.07</v>
      </c>
      <c r="F49" s="6">
        <v>14.61</v>
      </c>
      <c r="G49" s="14">
        <v>47473.07</v>
      </c>
      <c r="H49" s="14">
        <v>14.62</v>
      </c>
      <c r="I49" s="14">
        <v>47473.07</v>
      </c>
      <c r="J49" s="14">
        <v>14.62</v>
      </c>
      <c r="K49" s="6">
        <v>47473.07</v>
      </c>
      <c r="L49" s="6">
        <v>14.6</v>
      </c>
      <c r="M49" s="6">
        <v>47473.07</v>
      </c>
      <c r="N49" s="6">
        <v>14.94</v>
      </c>
    </row>
    <row r="50" spans="1:14" x14ac:dyDescent="0.2">
      <c r="A50" s="64" t="s">
        <v>10</v>
      </c>
      <c r="B50" s="64" t="s">
        <v>288</v>
      </c>
      <c r="C50" s="64">
        <v>6</v>
      </c>
      <c r="D50" s="64">
        <v>0.5</v>
      </c>
      <c r="E50" s="6">
        <v>89102.01</v>
      </c>
      <c r="F50" s="6">
        <v>37.11</v>
      </c>
      <c r="G50" s="14">
        <v>89102.01</v>
      </c>
      <c r="H50" s="14">
        <v>39.090000000000003</v>
      </c>
      <c r="I50" s="14">
        <v>89102.01</v>
      </c>
      <c r="J50" s="14">
        <v>39.090000000000003</v>
      </c>
      <c r="K50" s="6">
        <v>89102.01</v>
      </c>
      <c r="L50" s="6">
        <v>36.35</v>
      </c>
      <c r="M50" s="6">
        <v>89102.01</v>
      </c>
      <c r="N50" s="6">
        <v>39.86</v>
      </c>
    </row>
    <row r="51" spans="1:14" x14ac:dyDescent="0.2">
      <c r="A51" s="64" t="s">
        <v>10</v>
      </c>
      <c r="B51" s="64" t="s">
        <v>288</v>
      </c>
      <c r="C51" s="64">
        <v>8</v>
      </c>
      <c r="D51" s="64">
        <v>0.5</v>
      </c>
      <c r="E51" s="6">
        <v>113228.42</v>
      </c>
      <c r="F51" s="6">
        <v>46.67</v>
      </c>
      <c r="G51" s="14">
        <v>113228.42</v>
      </c>
      <c r="H51" s="14">
        <v>44.72</v>
      </c>
      <c r="I51" s="14">
        <v>113228.42</v>
      </c>
      <c r="J51" s="14">
        <v>44.72</v>
      </c>
      <c r="K51" s="6">
        <v>113228.42</v>
      </c>
      <c r="L51" s="6">
        <v>48.39</v>
      </c>
      <c r="M51" s="6">
        <v>113228.42</v>
      </c>
      <c r="N51" s="6">
        <v>48.83</v>
      </c>
    </row>
    <row r="52" spans="1:14" x14ac:dyDescent="0.2">
      <c r="A52" s="64" t="s">
        <v>10</v>
      </c>
      <c r="B52" s="64" t="s">
        <v>288</v>
      </c>
      <c r="C52" s="64">
        <v>10</v>
      </c>
      <c r="D52" s="64">
        <v>0.5</v>
      </c>
      <c r="E52" s="6">
        <v>140103.20000000001</v>
      </c>
      <c r="F52" s="6">
        <v>51.24</v>
      </c>
      <c r="G52" s="6">
        <v>140103.20000000001</v>
      </c>
      <c r="H52" s="14">
        <v>77.849999999999994</v>
      </c>
      <c r="I52" s="6">
        <v>140103.20000000001</v>
      </c>
      <c r="J52" s="14">
        <v>77.849999999999994</v>
      </c>
      <c r="K52" s="6">
        <v>140103.20000000001</v>
      </c>
      <c r="L52" s="6">
        <v>57.52</v>
      </c>
      <c r="M52" s="6">
        <v>140103.20000000001</v>
      </c>
      <c r="N52" s="6">
        <v>60.97</v>
      </c>
    </row>
    <row r="53" spans="1:14" x14ac:dyDescent="0.2">
      <c r="A53" s="64" t="s">
        <v>10</v>
      </c>
      <c r="B53" s="64" t="s">
        <v>288</v>
      </c>
      <c r="C53" s="64">
        <v>12</v>
      </c>
      <c r="D53" s="64">
        <v>0.5</v>
      </c>
      <c r="E53" s="6">
        <v>166821.76000000001</v>
      </c>
      <c r="F53" s="6">
        <v>118.14</v>
      </c>
      <c r="G53" s="14">
        <v>166821.76000000001</v>
      </c>
      <c r="H53" s="6">
        <v>111.2</v>
      </c>
      <c r="I53" s="14">
        <v>166821.76000000001</v>
      </c>
      <c r="J53" s="6">
        <v>111.2</v>
      </c>
      <c r="K53" s="6">
        <v>166821.76000000001</v>
      </c>
      <c r="L53" s="6">
        <v>123.1</v>
      </c>
      <c r="M53" s="6">
        <v>166821.76000000001</v>
      </c>
      <c r="N53" s="6">
        <v>126.22</v>
      </c>
    </row>
    <row r="54" spans="1:14" x14ac:dyDescent="0.2">
      <c r="A54" s="64" t="s">
        <v>10</v>
      </c>
      <c r="B54" s="64" t="s">
        <v>288</v>
      </c>
      <c r="C54" s="64">
        <v>14</v>
      </c>
      <c r="D54" s="64">
        <v>0.5</v>
      </c>
      <c r="E54" s="6">
        <v>182181</v>
      </c>
      <c r="F54" s="6">
        <v>206.52</v>
      </c>
      <c r="G54" s="6">
        <v>182181</v>
      </c>
      <c r="H54" s="14">
        <v>188.09</v>
      </c>
      <c r="I54" s="6">
        <v>182181</v>
      </c>
      <c r="J54" s="14">
        <v>188.09</v>
      </c>
      <c r="K54" s="6">
        <v>182181</v>
      </c>
      <c r="L54" s="6">
        <v>202.19</v>
      </c>
      <c r="M54" s="6">
        <v>182181</v>
      </c>
      <c r="N54" s="6">
        <v>178.4</v>
      </c>
    </row>
    <row r="55" spans="1:14" x14ac:dyDescent="0.2">
      <c r="A55" s="64" t="s">
        <v>10</v>
      </c>
      <c r="B55" s="64" t="s">
        <v>288</v>
      </c>
      <c r="C55" s="64">
        <v>16</v>
      </c>
      <c r="D55" s="64">
        <v>0.5</v>
      </c>
      <c r="E55" s="6">
        <v>214162.15</v>
      </c>
      <c r="F55" s="6">
        <v>203.06</v>
      </c>
      <c r="G55" s="6">
        <v>213830.9</v>
      </c>
      <c r="H55" s="14">
        <v>192.19</v>
      </c>
      <c r="I55" s="6">
        <v>213830.9</v>
      </c>
      <c r="J55" s="14">
        <v>192.19</v>
      </c>
      <c r="K55" s="6">
        <v>214096.54</v>
      </c>
      <c r="L55" s="6">
        <v>214.69</v>
      </c>
      <c r="M55" s="6">
        <v>213830.9</v>
      </c>
      <c r="N55" s="6">
        <v>173.37</v>
      </c>
    </row>
    <row r="56" spans="1:14" x14ac:dyDescent="0.2">
      <c r="A56" s="64" t="s">
        <v>10</v>
      </c>
      <c r="B56" s="64" t="s">
        <v>288</v>
      </c>
      <c r="C56" s="64">
        <v>18</v>
      </c>
      <c r="D56" s="64">
        <v>0.5</v>
      </c>
      <c r="E56" s="6">
        <v>239150.42</v>
      </c>
      <c r="F56" s="6">
        <v>212.9</v>
      </c>
      <c r="G56" s="6">
        <v>240521.3</v>
      </c>
      <c r="H56" s="6">
        <v>118.33</v>
      </c>
      <c r="I56" s="6">
        <v>240521.3</v>
      </c>
      <c r="J56" s="6">
        <v>118.33</v>
      </c>
      <c r="K56" s="6">
        <v>240994.53</v>
      </c>
      <c r="L56" s="6">
        <v>152.13</v>
      </c>
      <c r="M56" s="6">
        <v>239467.02</v>
      </c>
      <c r="N56" s="6">
        <v>147.04</v>
      </c>
    </row>
    <row r="57" spans="1:14" x14ac:dyDescent="0.2">
      <c r="A57" s="64" t="s">
        <v>10</v>
      </c>
      <c r="B57" s="64" t="s">
        <v>288</v>
      </c>
      <c r="C57" s="64">
        <v>20</v>
      </c>
      <c r="D57" s="64">
        <v>0.5</v>
      </c>
      <c r="E57" s="6">
        <v>262073.51</v>
      </c>
      <c r="F57" s="6">
        <v>222.5</v>
      </c>
      <c r="G57" s="14">
        <v>262202.06</v>
      </c>
      <c r="H57" s="6">
        <v>228.62</v>
      </c>
      <c r="I57" s="14">
        <v>262202.06</v>
      </c>
      <c r="J57" s="6">
        <v>228.62</v>
      </c>
      <c r="K57" s="6">
        <v>262202.06</v>
      </c>
      <c r="L57" s="6">
        <v>288.31</v>
      </c>
      <c r="M57" s="6">
        <v>262202.06</v>
      </c>
      <c r="N57" s="6">
        <v>246.73</v>
      </c>
    </row>
    <row r="58" spans="1:14" x14ac:dyDescent="0.2">
      <c r="A58" s="64" t="s">
        <v>10</v>
      </c>
      <c r="B58" s="64" t="s">
        <v>288</v>
      </c>
      <c r="C58" s="64">
        <v>22</v>
      </c>
      <c r="D58" s="64">
        <v>0.5</v>
      </c>
      <c r="E58" s="6">
        <v>287390.40000000002</v>
      </c>
      <c r="F58" s="6">
        <v>160.34</v>
      </c>
      <c r="G58" s="14">
        <v>288491.11</v>
      </c>
      <c r="H58" s="6">
        <v>206.59</v>
      </c>
      <c r="I58" s="14">
        <v>288491.11</v>
      </c>
      <c r="J58" s="6">
        <v>206.59</v>
      </c>
      <c r="K58" s="6">
        <v>287313.36</v>
      </c>
      <c r="L58" s="6">
        <v>140.69</v>
      </c>
      <c r="M58" s="6">
        <v>288491.11</v>
      </c>
      <c r="N58" s="6">
        <v>162.63</v>
      </c>
    </row>
    <row r="59" spans="1:14" x14ac:dyDescent="0.2">
      <c r="E59" s="6"/>
      <c r="F59" s="6"/>
      <c r="H59" s="6"/>
      <c r="J59" s="6"/>
      <c r="K59" s="6"/>
      <c r="L59" s="6"/>
      <c r="M59" s="6"/>
      <c r="N59" s="6"/>
    </row>
    <row r="60" spans="1:14" x14ac:dyDescent="0.2">
      <c r="A60" s="64" t="s">
        <v>10</v>
      </c>
      <c r="B60" s="64" t="s">
        <v>288</v>
      </c>
      <c r="C60" s="64">
        <v>4</v>
      </c>
      <c r="D60" s="64">
        <v>0.3</v>
      </c>
      <c r="E60" s="6">
        <v>68730.83</v>
      </c>
      <c r="F60" s="6">
        <v>26.64</v>
      </c>
      <c r="G60" s="14">
        <v>68730.83</v>
      </c>
      <c r="H60" s="6">
        <v>53.12</v>
      </c>
      <c r="I60" s="14">
        <v>68730.83</v>
      </c>
      <c r="J60" s="6">
        <v>53.12</v>
      </c>
      <c r="K60" s="6">
        <v>68730.83</v>
      </c>
      <c r="L60" s="6">
        <v>44.36</v>
      </c>
      <c r="M60" s="6">
        <v>68730.83</v>
      </c>
      <c r="N60" s="6">
        <v>36.85</v>
      </c>
    </row>
    <row r="61" spans="1:14" x14ac:dyDescent="0.2">
      <c r="A61" s="64" t="s">
        <v>10</v>
      </c>
      <c r="B61" s="64" t="s">
        <v>288</v>
      </c>
      <c r="C61" s="64">
        <v>6</v>
      </c>
      <c r="D61" s="64">
        <v>0.3</v>
      </c>
      <c r="E61" s="6">
        <v>117587.79</v>
      </c>
      <c r="F61" s="6">
        <v>72.39</v>
      </c>
      <c r="G61" s="14">
        <v>117587.79</v>
      </c>
      <c r="H61" s="6">
        <v>63.58</v>
      </c>
      <c r="I61" s="14">
        <v>117587.79</v>
      </c>
      <c r="J61" s="6">
        <v>63.58</v>
      </c>
      <c r="K61" s="6">
        <v>117672.14</v>
      </c>
      <c r="L61" s="6">
        <v>58.45</v>
      </c>
      <c r="M61" s="6">
        <v>117587.79</v>
      </c>
      <c r="N61" s="6">
        <v>68.52</v>
      </c>
    </row>
    <row r="62" spans="1:14" x14ac:dyDescent="0.2">
      <c r="A62" s="64" t="s">
        <v>10</v>
      </c>
      <c r="B62" s="64" t="s">
        <v>288</v>
      </c>
      <c r="C62" s="64">
        <v>8</v>
      </c>
      <c r="D62" s="64">
        <v>0.3</v>
      </c>
      <c r="E62" s="6">
        <v>182277.01</v>
      </c>
      <c r="F62" s="6">
        <v>103.78</v>
      </c>
      <c r="G62" s="14">
        <v>182715.49</v>
      </c>
      <c r="H62" s="6">
        <v>110.56</v>
      </c>
      <c r="I62" s="14">
        <v>182715.49</v>
      </c>
      <c r="J62" s="6">
        <v>110.56</v>
      </c>
      <c r="K62" s="6">
        <v>182715.49</v>
      </c>
      <c r="L62" s="6">
        <v>117.44</v>
      </c>
      <c r="M62" s="6">
        <v>182715.49</v>
      </c>
      <c r="N62" s="6">
        <v>107.48</v>
      </c>
    </row>
    <row r="63" spans="1:14" x14ac:dyDescent="0.2">
      <c r="A63" s="64" t="s">
        <v>10</v>
      </c>
      <c r="B63" s="64" t="s">
        <v>288</v>
      </c>
      <c r="C63" s="64">
        <v>10</v>
      </c>
      <c r="D63" s="64">
        <v>0.3</v>
      </c>
      <c r="E63" s="6">
        <v>165779.49</v>
      </c>
      <c r="F63" s="6">
        <v>164.68</v>
      </c>
      <c r="G63" s="14">
        <v>172975.55</v>
      </c>
      <c r="H63" s="14">
        <v>159.38999999999999</v>
      </c>
      <c r="I63" s="14">
        <v>172975.55</v>
      </c>
      <c r="J63" s="14">
        <v>159.38999999999999</v>
      </c>
      <c r="K63" s="6">
        <v>172975.55</v>
      </c>
      <c r="L63" s="6">
        <v>179.36</v>
      </c>
      <c r="M63" s="6">
        <v>171799.46</v>
      </c>
      <c r="N63" s="6">
        <v>144.25</v>
      </c>
    </row>
    <row r="64" spans="1:14" x14ac:dyDescent="0.2">
      <c r="A64" s="64" t="s">
        <v>10</v>
      </c>
      <c r="B64" s="64" t="s">
        <v>288</v>
      </c>
      <c r="C64" s="64">
        <v>12</v>
      </c>
      <c r="D64" s="64">
        <v>0.3</v>
      </c>
      <c r="E64" s="6">
        <v>196343.13</v>
      </c>
      <c r="F64" s="6">
        <v>290.95</v>
      </c>
      <c r="G64" s="14">
        <v>196343.13</v>
      </c>
      <c r="H64" s="14">
        <v>306.68</v>
      </c>
      <c r="I64" s="14">
        <v>196343.13</v>
      </c>
      <c r="J64" s="14">
        <v>306.68</v>
      </c>
      <c r="K64" s="6">
        <v>196343.13</v>
      </c>
      <c r="L64" s="6">
        <v>314.64999999999998</v>
      </c>
      <c r="M64" s="6">
        <v>196343.13</v>
      </c>
      <c r="N64" s="6">
        <v>218.25</v>
      </c>
    </row>
    <row r="65" spans="1:14" x14ac:dyDescent="0.2">
      <c r="A65" s="64" t="s">
        <v>10</v>
      </c>
      <c r="B65" s="64" t="s">
        <v>288</v>
      </c>
      <c r="C65" s="64">
        <v>14</v>
      </c>
      <c r="D65" s="64">
        <v>0.3</v>
      </c>
      <c r="E65" s="6">
        <v>220993.17</v>
      </c>
      <c r="F65" s="6">
        <v>534.4</v>
      </c>
      <c r="G65" s="14">
        <v>223342.57</v>
      </c>
      <c r="H65" s="14">
        <v>332.45</v>
      </c>
      <c r="I65" s="14">
        <v>223342.57</v>
      </c>
      <c r="J65" s="14">
        <v>332.45</v>
      </c>
      <c r="K65" s="6">
        <v>220993.17</v>
      </c>
      <c r="L65" s="6">
        <v>404.37</v>
      </c>
      <c r="M65" s="6">
        <v>223342.57</v>
      </c>
      <c r="N65" s="6">
        <v>425.71</v>
      </c>
    </row>
    <row r="66" spans="1:14" x14ac:dyDescent="0.2">
      <c r="A66" s="64" t="s">
        <v>10</v>
      </c>
      <c r="B66" s="64" t="s">
        <v>288</v>
      </c>
      <c r="C66" s="64">
        <v>16</v>
      </c>
      <c r="D66" s="64">
        <v>0.3</v>
      </c>
      <c r="E66" s="6">
        <v>245495.07</v>
      </c>
      <c r="F66" s="6">
        <v>460.56</v>
      </c>
      <c r="G66" s="14">
        <v>246366.88</v>
      </c>
      <c r="H66" s="6">
        <v>449.4</v>
      </c>
      <c r="I66" s="14">
        <v>246366.88</v>
      </c>
      <c r="J66" s="6">
        <v>449.4</v>
      </c>
      <c r="K66" s="6">
        <v>246028.5</v>
      </c>
      <c r="L66" s="6">
        <v>512.57000000000005</v>
      </c>
      <c r="M66" s="6">
        <v>246238.18</v>
      </c>
      <c r="N66" s="6">
        <v>437.36</v>
      </c>
    </row>
    <row r="67" spans="1:14" x14ac:dyDescent="0.2">
      <c r="A67" s="64" t="s">
        <v>10</v>
      </c>
      <c r="B67" s="64" t="s">
        <v>288</v>
      </c>
      <c r="C67" s="64">
        <v>18</v>
      </c>
      <c r="D67" s="64">
        <v>0.3</v>
      </c>
      <c r="E67" s="6">
        <v>280820.95</v>
      </c>
      <c r="F67" s="6">
        <v>412.8</v>
      </c>
      <c r="G67" s="14">
        <v>285660.71000000002</v>
      </c>
      <c r="H67" s="14">
        <v>382.52</v>
      </c>
      <c r="I67" s="14">
        <v>285660.71000000002</v>
      </c>
      <c r="J67" s="14">
        <v>382.52</v>
      </c>
      <c r="K67" s="6">
        <v>280110</v>
      </c>
      <c r="L67" s="6">
        <v>449</v>
      </c>
      <c r="M67" s="6">
        <v>282257.32</v>
      </c>
      <c r="N67" s="6">
        <v>362.92</v>
      </c>
    </row>
    <row r="68" spans="1:14" x14ac:dyDescent="0.2">
      <c r="A68" s="64" t="s">
        <v>10</v>
      </c>
      <c r="B68" s="64" t="s">
        <v>288</v>
      </c>
      <c r="C68" s="64">
        <v>20</v>
      </c>
      <c r="D68" s="64">
        <v>0.3</v>
      </c>
      <c r="E68" s="6">
        <v>304478.55</v>
      </c>
      <c r="F68" s="6">
        <v>496.48</v>
      </c>
      <c r="G68" s="14">
        <v>305695.87</v>
      </c>
      <c r="H68" s="6">
        <v>387.43</v>
      </c>
      <c r="I68" s="14">
        <v>305695.87</v>
      </c>
      <c r="J68" s="6">
        <v>387.43</v>
      </c>
      <c r="K68" s="6">
        <v>304784.14</v>
      </c>
      <c r="L68" s="6">
        <v>531.77</v>
      </c>
      <c r="M68" s="6">
        <v>304083.64</v>
      </c>
      <c r="N68" s="6">
        <v>432.59</v>
      </c>
    </row>
    <row r="69" spans="1:14" x14ac:dyDescent="0.2">
      <c r="A69" s="64" t="s">
        <v>10</v>
      </c>
      <c r="B69" s="64" t="s">
        <v>288</v>
      </c>
      <c r="C69" s="64">
        <v>22</v>
      </c>
      <c r="D69" s="64">
        <v>0.3</v>
      </c>
      <c r="E69" s="6">
        <v>337754.23</v>
      </c>
      <c r="F69" s="6">
        <v>469.99</v>
      </c>
      <c r="G69" s="14">
        <v>338106.38</v>
      </c>
      <c r="H69" s="6">
        <v>423.2</v>
      </c>
      <c r="I69" s="14">
        <v>338106.38</v>
      </c>
      <c r="J69" s="6">
        <v>423.2</v>
      </c>
      <c r="K69" s="6">
        <v>340761.16</v>
      </c>
      <c r="L69" s="6">
        <v>514.89</v>
      </c>
      <c r="M69" s="6">
        <v>335535.05</v>
      </c>
      <c r="N69" s="6">
        <v>569.08000000000004</v>
      </c>
    </row>
    <row r="70" spans="1:14" x14ac:dyDescent="0.2">
      <c r="A70" s="66"/>
      <c r="B70" s="66"/>
      <c r="C70" s="66"/>
      <c r="D70" s="66"/>
      <c r="E70" s="5"/>
      <c r="F70" s="5"/>
      <c r="G70" s="66"/>
      <c r="H70" s="66"/>
      <c r="I70" s="66"/>
      <c r="J70" s="66"/>
      <c r="K70" s="67"/>
      <c r="L70" s="67"/>
      <c r="M70" s="66"/>
      <c r="N70" s="66"/>
    </row>
    <row r="71" spans="1:14" x14ac:dyDescent="0.2">
      <c r="A71" s="64" t="s">
        <v>11</v>
      </c>
      <c r="B71" s="64" t="s">
        <v>288</v>
      </c>
      <c r="C71" s="64">
        <v>4</v>
      </c>
      <c r="D71" s="64">
        <v>1</v>
      </c>
      <c r="E71" s="6">
        <v>38500.26</v>
      </c>
      <c r="F71" s="6">
        <v>14.55</v>
      </c>
      <c r="G71" s="14">
        <v>38500.26</v>
      </c>
      <c r="H71" s="6">
        <v>14.68</v>
      </c>
      <c r="I71" s="14">
        <v>38500.26</v>
      </c>
      <c r="J71" s="6">
        <v>14.68</v>
      </c>
      <c r="K71" s="6">
        <v>38500.26</v>
      </c>
      <c r="L71" s="6">
        <v>14.6</v>
      </c>
      <c r="M71" s="6">
        <v>38500.26</v>
      </c>
      <c r="N71" s="6">
        <v>14.65</v>
      </c>
    </row>
    <row r="72" spans="1:14" x14ac:dyDescent="0.2">
      <c r="A72" s="64" t="s">
        <v>11</v>
      </c>
      <c r="B72" s="64" t="s">
        <v>288</v>
      </c>
      <c r="C72" s="64">
        <v>6</v>
      </c>
      <c r="D72" s="64">
        <v>1</v>
      </c>
      <c r="E72" s="6">
        <v>64509.84</v>
      </c>
      <c r="F72" s="6">
        <v>21.37</v>
      </c>
      <c r="G72" s="14">
        <v>64509.84</v>
      </c>
      <c r="H72" s="14">
        <v>21.45</v>
      </c>
      <c r="I72" s="14">
        <v>64509.84</v>
      </c>
      <c r="J72" s="14">
        <v>21.45</v>
      </c>
      <c r="K72" s="6">
        <v>64509.84</v>
      </c>
      <c r="L72" s="6">
        <v>21.95</v>
      </c>
      <c r="M72" s="6">
        <v>64509.84</v>
      </c>
      <c r="N72" s="6">
        <v>20.95</v>
      </c>
    </row>
    <row r="73" spans="1:14" x14ac:dyDescent="0.2">
      <c r="A73" s="64" t="s">
        <v>11</v>
      </c>
      <c r="B73" s="64" t="s">
        <v>288</v>
      </c>
      <c r="C73" s="64">
        <v>8</v>
      </c>
      <c r="D73" s="64">
        <v>1</v>
      </c>
      <c r="E73" s="6">
        <v>88037.64</v>
      </c>
      <c r="F73" s="6">
        <v>27.63</v>
      </c>
      <c r="G73" s="14">
        <v>88037.64</v>
      </c>
      <c r="H73" s="6">
        <v>27.68</v>
      </c>
      <c r="I73" s="14">
        <v>88037.64</v>
      </c>
      <c r="J73" s="6">
        <v>27.68</v>
      </c>
      <c r="K73" s="6">
        <v>88037.64</v>
      </c>
      <c r="L73" s="6">
        <v>28.93</v>
      </c>
      <c r="M73" s="6">
        <v>88037.64</v>
      </c>
      <c r="N73" s="6">
        <v>28.08</v>
      </c>
    </row>
    <row r="74" spans="1:14" x14ac:dyDescent="0.2">
      <c r="A74" s="64" t="s">
        <v>11</v>
      </c>
      <c r="B74" s="64" t="s">
        <v>288</v>
      </c>
      <c r="C74" s="64">
        <v>10</v>
      </c>
      <c r="D74" s="64">
        <v>1</v>
      </c>
      <c r="E74" s="6">
        <v>106011.56</v>
      </c>
      <c r="F74" s="6">
        <v>43.47</v>
      </c>
      <c r="G74" s="14">
        <v>106011.56</v>
      </c>
      <c r="H74" s="14">
        <v>40.17</v>
      </c>
      <c r="I74" s="14">
        <v>106011.56</v>
      </c>
      <c r="J74" s="14">
        <v>40.17</v>
      </c>
      <c r="K74" s="6">
        <v>106011.56</v>
      </c>
      <c r="L74" s="6">
        <v>45.14</v>
      </c>
      <c r="M74" s="6">
        <v>106011.56</v>
      </c>
      <c r="N74" s="6">
        <v>43.38</v>
      </c>
    </row>
    <row r="75" spans="1:14" x14ac:dyDescent="0.2">
      <c r="A75" s="64" t="s">
        <v>11</v>
      </c>
      <c r="B75" s="64" t="s">
        <v>288</v>
      </c>
      <c r="C75" s="64">
        <v>12</v>
      </c>
      <c r="D75" s="64">
        <v>1</v>
      </c>
      <c r="E75" s="6">
        <v>122766.41</v>
      </c>
      <c r="F75" s="6">
        <v>56.14</v>
      </c>
      <c r="G75" s="14">
        <v>123784.55</v>
      </c>
      <c r="H75" s="14">
        <v>52.45</v>
      </c>
      <c r="I75" s="14">
        <v>123784.55</v>
      </c>
      <c r="J75" s="14">
        <v>52.45</v>
      </c>
      <c r="K75" s="6">
        <v>122766.41</v>
      </c>
      <c r="L75" s="6">
        <v>52.92</v>
      </c>
      <c r="M75" s="6">
        <v>122766.41</v>
      </c>
      <c r="N75" s="6">
        <v>51.86</v>
      </c>
    </row>
    <row r="76" spans="1:14" x14ac:dyDescent="0.2">
      <c r="A76" s="64" t="s">
        <v>11</v>
      </c>
      <c r="B76" s="64" t="s">
        <v>288</v>
      </c>
      <c r="C76" s="64">
        <v>14</v>
      </c>
      <c r="D76" s="64">
        <v>1</v>
      </c>
      <c r="E76" s="6">
        <v>132948.79999999999</v>
      </c>
      <c r="F76" s="6">
        <v>70.069999999999993</v>
      </c>
      <c r="G76" s="14">
        <v>131191.94</v>
      </c>
      <c r="H76" s="14">
        <v>67.11</v>
      </c>
      <c r="I76" s="14">
        <v>131191.94</v>
      </c>
      <c r="J76" s="14">
        <v>67.11</v>
      </c>
      <c r="K76" s="6">
        <v>130549.61</v>
      </c>
      <c r="L76" s="6">
        <v>62.25</v>
      </c>
      <c r="M76" s="6">
        <v>130549.61</v>
      </c>
      <c r="N76" s="6">
        <v>59.92</v>
      </c>
    </row>
    <row r="77" spans="1:14" x14ac:dyDescent="0.2">
      <c r="A77" s="64" t="s">
        <v>11</v>
      </c>
      <c r="B77" s="64" t="s">
        <v>288</v>
      </c>
      <c r="C77" s="64">
        <v>16</v>
      </c>
      <c r="D77" s="64">
        <v>1</v>
      </c>
      <c r="E77" s="6">
        <v>161955.76999999999</v>
      </c>
      <c r="F77" s="6">
        <v>72.58</v>
      </c>
      <c r="G77" s="14">
        <v>161818.16</v>
      </c>
      <c r="H77" s="14">
        <v>72.459999999999994</v>
      </c>
      <c r="I77" s="14">
        <v>161818.16</v>
      </c>
      <c r="J77" s="14">
        <v>72.459999999999994</v>
      </c>
      <c r="K77" s="6">
        <v>161955.76999999999</v>
      </c>
      <c r="L77" s="6">
        <v>66.709999999999994</v>
      </c>
      <c r="M77" s="6">
        <v>161818.16</v>
      </c>
      <c r="N77" s="6">
        <v>76.53</v>
      </c>
    </row>
    <row r="78" spans="1:14" x14ac:dyDescent="0.2">
      <c r="A78" s="64" t="s">
        <v>11</v>
      </c>
      <c r="B78" s="64" t="s">
        <v>288</v>
      </c>
      <c r="C78" s="64">
        <v>18</v>
      </c>
      <c r="D78" s="64">
        <v>1</v>
      </c>
      <c r="E78" s="6">
        <v>174086.81</v>
      </c>
      <c r="F78" s="6">
        <v>82.46</v>
      </c>
      <c r="G78" s="14">
        <v>174086.81</v>
      </c>
      <c r="H78" s="14">
        <v>90.92</v>
      </c>
      <c r="I78" s="14">
        <v>174086.81</v>
      </c>
      <c r="J78" s="14">
        <v>90.92</v>
      </c>
      <c r="K78" s="6">
        <v>174086.81</v>
      </c>
      <c r="L78" s="6">
        <v>85.48</v>
      </c>
      <c r="M78" s="6">
        <v>174086.81</v>
      </c>
      <c r="N78" s="6">
        <v>90.47</v>
      </c>
    </row>
    <row r="79" spans="1:14" x14ac:dyDescent="0.2">
      <c r="A79" s="64" t="s">
        <v>11</v>
      </c>
      <c r="B79" s="64" t="s">
        <v>288</v>
      </c>
      <c r="C79" s="64">
        <v>20</v>
      </c>
      <c r="D79" s="64">
        <v>1</v>
      </c>
      <c r="E79" s="6">
        <v>202990.16</v>
      </c>
      <c r="F79" s="6">
        <v>78.66</v>
      </c>
      <c r="G79" s="14">
        <v>205039.51</v>
      </c>
      <c r="H79" s="14">
        <v>96.09</v>
      </c>
      <c r="I79" s="14">
        <v>205039.51</v>
      </c>
      <c r="J79" s="14">
        <v>96.09</v>
      </c>
      <c r="K79" s="6">
        <v>203113.63</v>
      </c>
      <c r="L79" s="6">
        <v>98.33</v>
      </c>
      <c r="M79" s="6">
        <v>202990.16</v>
      </c>
      <c r="N79" s="6">
        <v>87.38</v>
      </c>
    </row>
    <row r="80" spans="1:14" x14ac:dyDescent="0.2">
      <c r="A80" s="64" t="s">
        <v>11</v>
      </c>
      <c r="B80" s="64" t="s">
        <v>288</v>
      </c>
      <c r="C80" s="64">
        <v>22</v>
      </c>
      <c r="D80" s="64">
        <v>1</v>
      </c>
      <c r="E80" s="6">
        <v>230904.35</v>
      </c>
      <c r="F80" s="6">
        <v>91.22</v>
      </c>
      <c r="G80" s="14">
        <v>230904.35</v>
      </c>
      <c r="H80" s="14">
        <v>109.43</v>
      </c>
      <c r="I80" s="14">
        <v>230904.35</v>
      </c>
      <c r="J80" s="14">
        <v>109.43</v>
      </c>
      <c r="K80" s="6">
        <v>230985.24</v>
      </c>
      <c r="L80" s="6">
        <v>103.26</v>
      </c>
      <c r="M80" s="6">
        <v>231162.77</v>
      </c>
      <c r="N80" s="6">
        <v>106.86</v>
      </c>
    </row>
    <row r="81" spans="1:14" x14ac:dyDescent="0.2">
      <c r="A81" s="64"/>
      <c r="B81" s="64"/>
      <c r="C81" s="64"/>
      <c r="D81" s="64"/>
      <c r="E81" s="6"/>
      <c r="F81" s="6"/>
      <c r="K81" s="6"/>
      <c r="L81" s="6"/>
      <c r="M81" s="6"/>
      <c r="N81" s="6"/>
    </row>
    <row r="82" spans="1:14" x14ac:dyDescent="0.2">
      <c r="A82" s="64" t="s">
        <v>11</v>
      </c>
      <c r="B82" s="64" t="s">
        <v>288</v>
      </c>
      <c r="C82" s="64">
        <v>4</v>
      </c>
      <c r="D82" s="64">
        <v>0.5</v>
      </c>
      <c r="E82" s="6">
        <v>47323.24</v>
      </c>
      <c r="F82" s="6">
        <v>16.75</v>
      </c>
      <c r="G82" s="6">
        <v>47323.24</v>
      </c>
      <c r="H82" s="6">
        <v>14.62</v>
      </c>
      <c r="I82" s="6">
        <v>47323.24</v>
      </c>
      <c r="J82" s="6">
        <v>14.62</v>
      </c>
      <c r="K82" s="6">
        <v>47323.24</v>
      </c>
      <c r="L82" s="6">
        <v>14.57</v>
      </c>
      <c r="M82" s="6">
        <v>47323.24</v>
      </c>
      <c r="N82" s="6">
        <v>14.95</v>
      </c>
    </row>
    <row r="83" spans="1:14" x14ac:dyDescent="0.2">
      <c r="A83" s="64" t="s">
        <v>11</v>
      </c>
      <c r="B83" s="64" t="s">
        <v>288</v>
      </c>
      <c r="C83" s="64">
        <v>6</v>
      </c>
      <c r="D83" s="64">
        <v>0.5</v>
      </c>
      <c r="E83" s="6">
        <v>79293.34</v>
      </c>
      <c r="F83" s="6">
        <v>22.66</v>
      </c>
      <c r="G83" s="6">
        <v>79293.34</v>
      </c>
      <c r="H83" s="6">
        <v>21.93</v>
      </c>
      <c r="I83" s="6">
        <v>79293.34</v>
      </c>
      <c r="J83" s="6">
        <v>21.93</v>
      </c>
      <c r="K83" s="6">
        <v>79293.34</v>
      </c>
      <c r="L83" s="6">
        <v>22.73</v>
      </c>
      <c r="M83" s="6">
        <v>79293.34</v>
      </c>
      <c r="N83" s="6">
        <v>23.91</v>
      </c>
    </row>
    <row r="84" spans="1:14" x14ac:dyDescent="0.2">
      <c r="A84" s="64" t="s">
        <v>11</v>
      </c>
      <c r="B84" s="64" t="s">
        <v>288</v>
      </c>
      <c r="C84" s="64">
        <v>8</v>
      </c>
      <c r="D84" s="64">
        <v>0.5</v>
      </c>
      <c r="E84" s="6">
        <v>117750.8</v>
      </c>
      <c r="F84" s="6">
        <v>33.01</v>
      </c>
      <c r="G84" s="6">
        <v>117750.8</v>
      </c>
      <c r="H84" s="6">
        <v>31.3</v>
      </c>
      <c r="I84" s="6">
        <v>117750.8</v>
      </c>
      <c r="J84" s="6">
        <v>31.3</v>
      </c>
      <c r="K84" s="6">
        <v>117750.8</v>
      </c>
      <c r="L84" s="6">
        <v>29.2</v>
      </c>
      <c r="M84" s="6">
        <v>117750.8</v>
      </c>
      <c r="N84" s="6">
        <v>30.38</v>
      </c>
    </row>
    <row r="85" spans="1:14" x14ac:dyDescent="0.2">
      <c r="A85" s="64" t="s">
        <v>11</v>
      </c>
      <c r="B85" s="64" t="s">
        <v>288</v>
      </c>
      <c r="C85" s="64">
        <v>10</v>
      </c>
      <c r="D85" s="64">
        <v>0.5</v>
      </c>
      <c r="E85" s="6">
        <v>133469.84</v>
      </c>
      <c r="F85" s="6">
        <v>90.43</v>
      </c>
      <c r="G85" s="6">
        <v>133469.84</v>
      </c>
      <c r="H85" s="6">
        <v>66.37</v>
      </c>
      <c r="I85" s="6">
        <v>133469.84</v>
      </c>
      <c r="J85" s="6">
        <v>66.37</v>
      </c>
      <c r="K85" s="6">
        <v>133469.84</v>
      </c>
      <c r="L85" s="6">
        <v>81.819999999999993</v>
      </c>
      <c r="M85" s="6">
        <v>133469.84</v>
      </c>
      <c r="N85" s="6">
        <v>67.55</v>
      </c>
    </row>
    <row r="86" spans="1:14" x14ac:dyDescent="0.2">
      <c r="A86" s="64" t="s">
        <v>11</v>
      </c>
      <c r="B86" s="64" t="s">
        <v>288</v>
      </c>
      <c r="C86" s="64">
        <v>12</v>
      </c>
      <c r="D86" s="64">
        <v>0.5</v>
      </c>
      <c r="E86" s="6">
        <v>154485.25</v>
      </c>
      <c r="F86" s="6">
        <v>86.53</v>
      </c>
      <c r="G86" s="6">
        <v>154371.43</v>
      </c>
      <c r="H86" s="6">
        <v>98.1</v>
      </c>
      <c r="I86" s="6">
        <v>154371.43</v>
      </c>
      <c r="J86" s="6">
        <v>98.1</v>
      </c>
      <c r="K86" s="6">
        <v>154485.25</v>
      </c>
      <c r="L86" s="6">
        <v>84.09</v>
      </c>
      <c r="M86" s="6">
        <v>154403.69</v>
      </c>
      <c r="N86" s="6">
        <v>75.31</v>
      </c>
    </row>
    <row r="87" spans="1:14" x14ac:dyDescent="0.2">
      <c r="A87" s="64" t="s">
        <v>11</v>
      </c>
      <c r="B87" s="64" t="s">
        <v>288</v>
      </c>
      <c r="C87" s="64">
        <v>14</v>
      </c>
      <c r="D87" s="64">
        <v>0.5</v>
      </c>
      <c r="E87" s="6">
        <v>165726.5</v>
      </c>
      <c r="F87" s="6">
        <v>113.42</v>
      </c>
      <c r="G87" s="6">
        <v>163986.89000000001</v>
      </c>
      <c r="H87" s="6">
        <v>122.91</v>
      </c>
      <c r="I87" s="6">
        <v>163986.89000000001</v>
      </c>
      <c r="J87" s="6">
        <v>122.91</v>
      </c>
      <c r="K87" s="6">
        <v>165726.5</v>
      </c>
      <c r="L87" s="6">
        <v>124.58</v>
      </c>
      <c r="M87" s="6">
        <v>163986.89000000001</v>
      </c>
      <c r="N87" s="6">
        <v>112.18</v>
      </c>
    </row>
    <row r="88" spans="1:14" x14ac:dyDescent="0.2">
      <c r="A88" s="64" t="s">
        <v>11</v>
      </c>
      <c r="B88" s="64" t="s">
        <v>288</v>
      </c>
      <c r="C88" s="64">
        <v>16</v>
      </c>
      <c r="D88" s="64">
        <v>0.5</v>
      </c>
      <c r="E88" s="6">
        <v>201506.55</v>
      </c>
      <c r="F88" s="6">
        <v>124.36</v>
      </c>
      <c r="G88" s="6">
        <v>201752.56</v>
      </c>
      <c r="H88" s="6">
        <v>118.48</v>
      </c>
      <c r="I88" s="6">
        <v>201752.56</v>
      </c>
      <c r="J88" s="6">
        <v>118.48</v>
      </c>
      <c r="K88" s="6">
        <v>201506.55</v>
      </c>
      <c r="L88" s="6">
        <v>136.43</v>
      </c>
      <c r="M88" s="6">
        <v>201498.54</v>
      </c>
      <c r="N88" s="6">
        <v>119.58</v>
      </c>
    </row>
    <row r="89" spans="1:14" x14ac:dyDescent="0.2">
      <c r="A89" s="64" t="s">
        <v>11</v>
      </c>
      <c r="B89" s="64" t="s">
        <v>288</v>
      </c>
      <c r="C89" s="64">
        <v>18</v>
      </c>
      <c r="D89" s="64">
        <v>0.5</v>
      </c>
      <c r="E89" s="6">
        <v>217798.46</v>
      </c>
      <c r="F89" s="6">
        <v>130.44</v>
      </c>
      <c r="G89" s="6">
        <v>217798.46</v>
      </c>
      <c r="H89" s="6">
        <v>155.61000000000001</v>
      </c>
      <c r="I89" s="6">
        <v>217798.46</v>
      </c>
      <c r="J89" s="6">
        <v>155.61000000000001</v>
      </c>
      <c r="K89" s="6">
        <v>217798.46</v>
      </c>
      <c r="L89" s="6">
        <v>180.5</v>
      </c>
      <c r="M89" s="6">
        <v>217798.46</v>
      </c>
      <c r="N89" s="6">
        <v>168.67</v>
      </c>
    </row>
    <row r="90" spans="1:14" x14ac:dyDescent="0.2">
      <c r="A90" s="64" t="s">
        <v>11</v>
      </c>
      <c r="B90" s="64" t="s">
        <v>288</v>
      </c>
      <c r="C90" s="64">
        <v>20</v>
      </c>
      <c r="D90" s="64">
        <v>0.5</v>
      </c>
      <c r="E90" s="6">
        <v>253976.06</v>
      </c>
      <c r="F90" s="6">
        <v>169.39</v>
      </c>
      <c r="G90" s="6">
        <v>253976.06</v>
      </c>
      <c r="H90" s="6">
        <v>151.97999999999999</v>
      </c>
      <c r="I90" s="6">
        <v>253976.06</v>
      </c>
      <c r="J90" s="6">
        <v>151.97999999999999</v>
      </c>
      <c r="K90" s="6">
        <v>253976.06</v>
      </c>
      <c r="L90" s="6">
        <v>147.83000000000001</v>
      </c>
      <c r="M90" s="6">
        <v>253976.06</v>
      </c>
      <c r="N90" s="6">
        <v>149.49</v>
      </c>
    </row>
    <row r="91" spans="1:14" x14ac:dyDescent="0.2">
      <c r="A91" s="64" t="s">
        <v>11</v>
      </c>
      <c r="B91" s="64" t="s">
        <v>288</v>
      </c>
      <c r="C91" s="64">
        <v>22</v>
      </c>
      <c r="D91" s="64">
        <v>0.5</v>
      </c>
      <c r="E91" s="6">
        <v>288687.24</v>
      </c>
      <c r="F91" s="6">
        <v>128.12</v>
      </c>
      <c r="G91" s="14">
        <v>288242.88</v>
      </c>
      <c r="H91" s="14">
        <v>139.01</v>
      </c>
      <c r="I91" s="14">
        <v>288242.88</v>
      </c>
      <c r="J91" s="14">
        <v>139.01</v>
      </c>
      <c r="K91" s="6">
        <v>288242.88</v>
      </c>
      <c r="L91" s="6">
        <v>145.91</v>
      </c>
      <c r="M91" s="6">
        <v>288242.88</v>
      </c>
      <c r="N91" s="6">
        <v>172.55</v>
      </c>
    </row>
    <row r="92" spans="1:14" x14ac:dyDescent="0.2">
      <c r="E92" s="6"/>
      <c r="F92" s="6"/>
      <c r="K92" s="6"/>
      <c r="L92" s="6"/>
      <c r="M92" s="6"/>
      <c r="N92" s="6"/>
    </row>
    <row r="93" spans="1:14" x14ac:dyDescent="0.2">
      <c r="A93" s="64" t="s">
        <v>11</v>
      </c>
      <c r="B93" s="64" t="s">
        <v>288</v>
      </c>
      <c r="C93" s="64">
        <v>4</v>
      </c>
      <c r="D93" s="64">
        <v>0.3</v>
      </c>
      <c r="E93" s="6">
        <v>54855.06</v>
      </c>
      <c r="F93" s="6">
        <v>15.25</v>
      </c>
      <c r="G93" s="14">
        <v>54855.06</v>
      </c>
      <c r="H93" s="14">
        <v>15.23</v>
      </c>
      <c r="I93" s="14">
        <v>54855.06</v>
      </c>
      <c r="J93" s="14">
        <v>15.23</v>
      </c>
      <c r="K93" s="6">
        <v>54855.06</v>
      </c>
      <c r="L93" s="6">
        <v>15.2</v>
      </c>
      <c r="M93" s="6">
        <v>54855.06</v>
      </c>
      <c r="N93" s="6">
        <v>15.77</v>
      </c>
    </row>
    <row r="94" spans="1:14" x14ac:dyDescent="0.2">
      <c r="A94" s="64" t="s">
        <v>11</v>
      </c>
      <c r="B94" s="64" t="s">
        <v>288</v>
      </c>
      <c r="C94" s="64">
        <v>6</v>
      </c>
      <c r="D94" s="64">
        <v>0.3</v>
      </c>
      <c r="E94" s="6">
        <v>103388.95</v>
      </c>
      <c r="F94" s="6">
        <v>25.81</v>
      </c>
      <c r="G94" s="14">
        <v>103388.95</v>
      </c>
      <c r="H94" s="14">
        <v>29.29</v>
      </c>
      <c r="I94" s="14">
        <v>103388.95</v>
      </c>
      <c r="J94" s="14">
        <v>29.29</v>
      </c>
      <c r="K94" s="6">
        <v>103388.95</v>
      </c>
      <c r="L94" s="6">
        <v>24.21</v>
      </c>
      <c r="M94" s="6">
        <v>103388.95</v>
      </c>
      <c r="N94" s="6">
        <v>31.94</v>
      </c>
    </row>
    <row r="95" spans="1:14" x14ac:dyDescent="0.2">
      <c r="A95" s="64" t="s">
        <v>11</v>
      </c>
      <c r="B95" s="64" t="s">
        <v>288</v>
      </c>
      <c r="C95" s="64">
        <v>8</v>
      </c>
      <c r="D95" s="64">
        <v>0.3</v>
      </c>
      <c r="E95" s="6">
        <v>139888.28</v>
      </c>
      <c r="F95" s="6">
        <v>43</v>
      </c>
      <c r="G95" s="14">
        <v>139888.28</v>
      </c>
      <c r="H95" s="14">
        <v>32.47</v>
      </c>
      <c r="I95" s="14">
        <v>139888.28</v>
      </c>
      <c r="J95" s="14">
        <v>32.47</v>
      </c>
      <c r="K95" s="6">
        <v>139888.28</v>
      </c>
      <c r="L95" s="6">
        <v>38.89</v>
      </c>
      <c r="M95" s="6">
        <v>139888.28</v>
      </c>
      <c r="N95" s="6">
        <v>42.96</v>
      </c>
    </row>
    <row r="96" spans="1:14" x14ac:dyDescent="0.2">
      <c r="A96" s="64" t="s">
        <v>11</v>
      </c>
      <c r="B96" s="64" t="s">
        <v>288</v>
      </c>
      <c r="C96" s="64">
        <v>10</v>
      </c>
      <c r="D96" s="64">
        <v>0.3</v>
      </c>
      <c r="E96" s="6">
        <v>159701.81</v>
      </c>
      <c r="F96" s="6">
        <v>279.52</v>
      </c>
      <c r="G96" s="14">
        <v>159701.81</v>
      </c>
      <c r="H96" s="14">
        <v>235.48</v>
      </c>
      <c r="I96" s="14">
        <v>159701.81</v>
      </c>
      <c r="J96" s="14">
        <v>235.48</v>
      </c>
      <c r="K96" s="6">
        <v>159701.81</v>
      </c>
      <c r="L96" s="6">
        <v>215.63</v>
      </c>
      <c r="M96" s="6">
        <v>159701.81</v>
      </c>
      <c r="N96" s="6">
        <v>271.69</v>
      </c>
    </row>
    <row r="97" spans="1:14" x14ac:dyDescent="0.2">
      <c r="A97" s="64" t="s">
        <v>11</v>
      </c>
      <c r="B97" s="64" t="s">
        <v>288</v>
      </c>
      <c r="C97" s="64">
        <v>12</v>
      </c>
      <c r="D97" s="64">
        <v>0.3</v>
      </c>
      <c r="E97" s="6">
        <v>185924.83</v>
      </c>
      <c r="F97" s="6">
        <v>456.36</v>
      </c>
      <c r="G97" s="14">
        <v>185924.83</v>
      </c>
      <c r="H97" s="14">
        <v>472.33</v>
      </c>
      <c r="I97" s="14">
        <v>185924.83</v>
      </c>
      <c r="J97" s="14">
        <v>472.33</v>
      </c>
      <c r="K97" s="6">
        <v>185924.83</v>
      </c>
      <c r="L97" s="6">
        <v>326.39999999999998</v>
      </c>
      <c r="M97" s="6">
        <v>185924.83</v>
      </c>
      <c r="N97" s="6">
        <v>505.86</v>
      </c>
    </row>
    <row r="98" spans="1:14" x14ac:dyDescent="0.2">
      <c r="A98" s="64" t="s">
        <v>11</v>
      </c>
      <c r="B98" s="64" t="s">
        <v>288</v>
      </c>
      <c r="C98" s="64">
        <v>14</v>
      </c>
      <c r="D98" s="64">
        <v>0.3</v>
      </c>
      <c r="E98" s="6">
        <v>202917.91</v>
      </c>
      <c r="F98" s="6">
        <v>1124.83</v>
      </c>
      <c r="G98" s="14">
        <v>203076.95</v>
      </c>
      <c r="H98" s="6">
        <v>1150.3</v>
      </c>
      <c r="I98" s="14">
        <v>203076.95</v>
      </c>
      <c r="J98" s="6">
        <v>1150.3</v>
      </c>
      <c r="K98" s="6">
        <v>202917.91</v>
      </c>
      <c r="L98" s="6">
        <v>690.29</v>
      </c>
      <c r="M98" s="6">
        <v>203178.82</v>
      </c>
      <c r="N98" s="6">
        <v>1345.63</v>
      </c>
    </row>
    <row r="99" spans="1:14" x14ac:dyDescent="0.2">
      <c r="A99" s="64" t="s">
        <v>11</v>
      </c>
      <c r="B99" s="64" t="s">
        <v>288</v>
      </c>
      <c r="C99" s="64">
        <v>16</v>
      </c>
      <c r="D99" s="64">
        <v>0.3</v>
      </c>
      <c r="E99" s="6">
        <v>234089.03</v>
      </c>
      <c r="F99" s="6">
        <v>390.68</v>
      </c>
      <c r="G99" s="14">
        <v>234652.58</v>
      </c>
      <c r="H99" s="14">
        <v>396.12</v>
      </c>
      <c r="I99" s="14">
        <v>234652.58</v>
      </c>
      <c r="J99" s="14">
        <v>396.12</v>
      </c>
      <c r="K99" s="6">
        <v>234652.58</v>
      </c>
      <c r="L99" s="6">
        <v>285.95</v>
      </c>
      <c r="M99" s="6">
        <v>233881.06</v>
      </c>
      <c r="N99" s="6">
        <v>425.24</v>
      </c>
    </row>
    <row r="100" spans="1:14" x14ac:dyDescent="0.2">
      <c r="A100" s="64" t="s">
        <v>11</v>
      </c>
      <c r="B100" s="64" t="s">
        <v>288</v>
      </c>
      <c r="C100" s="64">
        <v>18</v>
      </c>
      <c r="D100" s="64">
        <v>0.3</v>
      </c>
      <c r="E100" s="6">
        <v>251993.87</v>
      </c>
      <c r="F100" s="6">
        <v>540.54</v>
      </c>
      <c r="G100" s="14">
        <v>251993.87</v>
      </c>
      <c r="H100" s="14">
        <v>514.28</v>
      </c>
      <c r="I100" s="14">
        <v>251993.87</v>
      </c>
      <c r="J100" s="14">
        <v>514.28</v>
      </c>
      <c r="K100" s="6">
        <v>251993.87</v>
      </c>
      <c r="L100" s="6">
        <v>385.93</v>
      </c>
      <c r="M100" s="6">
        <v>251993.87</v>
      </c>
      <c r="N100" s="6">
        <v>486.3</v>
      </c>
    </row>
    <row r="101" spans="1:14" x14ac:dyDescent="0.2">
      <c r="A101" s="64" t="s">
        <v>11</v>
      </c>
      <c r="B101" s="64" t="s">
        <v>288</v>
      </c>
      <c r="C101" s="64">
        <v>20</v>
      </c>
      <c r="D101" s="64">
        <v>0.3</v>
      </c>
      <c r="E101" s="6">
        <v>305457</v>
      </c>
      <c r="F101" s="6">
        <v>509.37</v>
      </c>
      <c r="G101" s="14">
        <v>303162.55</v>
      </c>
      <c r="H101" s="14">
        <v>532.98</v>
      </c>
      <c r="I101" s="14">
        <v>303162.55</v>
      </c>
      <c r="J101" s="14">
        <v>532.98</v>
      </c>
      <c r="K101" s="6">
        <v>302087.73</v>
      </c>
      <c r="L101" s="6">
        <v>520.20000000000005</v>
      </c>
      <c r="M101" s="6">
        <v>302968.78999999998</v>
      </c>
      <c r="N101" s="6">
        <v>658.64</v>
      </c>
    </row>
    <row r="102" spans="1:14" x14ac:dyDescent="0.2">
      <c r="A102" s="64" t="s">
        <v>11</v>
      </c>
      <c r="B102" s="64" t="s">
        <v>288</v>
      </c>
      <c r="C102" s="64">
        <v>22</v>
      </c>
      <c r="D102" s="64">
        <v>0.3</v>
      </c>
      <c r="E102" s="6">
        <v>338385.82</v>
      </c>
      <c r="F102" s="6">
        <v>339.3</v>
      </c>
      <c r="G102" s="14">
        <v>337348.93</v>
      </c>
      <c r="H102" s="14">
        <v>358</v>
      </c>
      <c r="I102" s="14">
        <v>337348.93</v>
      </c>
      <c r="J102" s="14">
        <v>358</v>
      </c>
      <c r="K102" s="6">
        <v>337113.63</v>
      </c>
      <c r="L102" s="6">
        <v>246.79</v>
      </c>
      <c r="M102" s="6">
        <v>338101.72</v>
      </c>
      <c r="N102" s="6">
        <v>427.56</v>
      </c>
    </row>
    <row r="103" spans="1:14" x14ac:dyDescent="0.2">
      <c r="A103" s="66"/>
      <c r="B103" s="66"/>
      <c r="C103" s="66"/>
      <c r="D103" s="66"/>
      <c r="E103" s="5"/>
      <c r="F103" s="5"/>
      <c r="G103" s="66"/>
      <c r="H103" s="66"/>
      <c r="I103" s="66"/>
      <c r="J103" s="66"/>
      <c r="K103" s="67"/>
      <c r="L103" s="67"/>
      <c r="M103" s="67"/>
      <c r="N103" s="67"/>
    </row>
    <row r="104" spans="1:14" x14ac:dyDescent="0.2">
      <c r="A104" s="64" t="s">
        <v>12</v>
      </c>
      <c r="B104" s="64" t="s">
        <v>288</v>
      </c>
      <c r="C104" s="64">
        <v>4</v>
      </c>
      <c r="D104" s="64">
        <v>1</v>
      </c>
      <c r="E104" s="6">
        <v>55719.199999999997</v>
      </c>
      <c r="F104" s="6">
        <v>15.38</v>
      </c>
      <c r="G104" s="6">
        <v>55719.199999999997</v>
      </c>
      <c r="H104" s="6">
        <v>15.02</v>
      </c>
      <c r="I104" s="6">
        <v>55719.199999999997</v>
      </c>
      <c r="J104" s="6">
        <v>15.02</v>
      </c>
      <c r="K104" s="6">
        <v>55719.199999999997</v>
      </c>
      <c r="L104" s="6">
        <v>14.99</v>
      </c>
      <c r="M104" s="6">
        <v>55719.199999999997</v>
      </c>
      <c r="N104" s="6">
        <v>15.25</v>
      </c>
    </row>
    <row r="105" spans="1:14" x14ac:dyDescent="0.2">
      <c r="A105" s="64" t="s">
        <v>12</v>
      </c>
      <c r="B105" s="64" t="s">
        <v>288</v>
      </c>
      <c r="C105" s="64">
        <v>6</v>
      </c>
      <c r="D105" s="64">
        <v>1</v>
      </c>
      <c r="E105" s="6">
        <v>68436.31</v>
      </c>
      <c r="F105" s="6">
        <v>22.56</v>
      </c>
      <c r="G105" s="6">
        <v>68436.31</v>
      </c>
      <c r="H105" s="6">
        <v>21.91</v>
      </c>
      <c r="I105" s="6">
        <v>68436.31</v>
      </c>
      <c r="J105" s="6">
        <v>21.91</v>
      </c>
      <c r="K105" s="6">
        <v>68436.31</v>
      </c>
      <c r="L105" s="6">
        <v>22.03</v>
      </c>
      <c r="M105" s="6">
        <v>68436.31</v>
      </c>
      <c r="N105" s="6">
        <v>22.21</v>
      </c>
    </row>
    <row r="106" spans="1:14" x14ac:dyDescent="0.2">
      <c r="A106" s="64" t="s">
        <v>12</v>
      </c>
      <c r="B106" s="64" t="s">
        <v>288</v>
      </c>
      <c r="C106" s="64">
        <v>8</v>
      </c>
      <c r="D106" s="64">
        <v>1</v>
      </c>
      <c r="E106" s="6">
        <v>107375.82</v>
      </c>
      <c r="F106" s="6">
        <v>30.8</v>
      </c>
      <c r="G106" s="6">
        <v>107375.82</v>
      </c>
      <c r="H106" s="6">
        <v>31.73</v>
      </c>
      <c r="I106" s="6">
        <v>107375.82</v>
      </c>
      <c r="J106" s="6">
        <v>31.73</v>
      </c>
      <c r="K106" s="6">
        <v>107375.82</v>
      </c>
      <c r="L106" s="6">
        <v>30.5</v>
      </c>
      <c r="M106" s="6">
        <v>107375.82</v>
      </c>
      <c r="N106" s="6">
        <v>30.87</v>
      </c>
    </row>
    <row r="107" spans="1:14" x14ac:dyDescent="0.2">
      <c r="A107" s="64" t="s">
        <v>12</v>
      </c>
      <c r="B107" s="64" t="s">
        <v>288</v>
      </c>
      <c r="C107" s="64">
        <v>10</v>
      </c>
      <c r="D107" s="64">
        <v>1</v>
      </c>
      <c r="E107" s="6">
        <v>134497.57</v>
      </c>
      <c r="F107" s="6">
        <v>43.56</v>
      </c>
      <c r="G107" s="6">
        <v>134497.57</v>
      </c>
      <c r="H107" s="6">
        <v>38.03</v>
      </c>
      <c r="I107" s="6">
        <v>134497.57</v>
      </c>
      <c r="J107" s="6">
        <v>38.03</v>
      </c>
      <c r="K107" s="6">
        <v>134497.57</v>
      </c>
      <c r="L107" s="6">
        <v>41.65</v>
      </c>
      <c r="M107" s="6">
        <v>134497.57</v>
      </c>
      <c r="N107" s="6">
        <v>41.76</v>
      </c>
    </row>
    <row r="108" spans="1:14" x14ac:dyDescent="0.2">
      <c r="A108" s="64" t="s">
        <v>12</v>
      </c>
      <c r="B108" s="64" t="s">
        <v>288</v>
      </c>
      <c r="C108" s="64">
        <v>12</v>
      </c>
      <c r="D108" s="64">
        <v>1</v>
      </c>
      <c r="E108" s="6">
        <v>142512.20000000001</v>
      </c>
      <c r="F108" s="6">
        <v>54.53</v>
      </c>
      <c r="G108" s="6">
        <v>142512.20000000001</v>
      </c>
      <c r="H108" s="6">
        <v>49.16</v>
      </c>
      <c r="I108" s="6">
        <v>142512.20000000001</v>
      </c>
      <c r="J108" s="6">
        <v>49.16</v>
      </c>
      <c r="K108" s="6">
        <v>142512.20000000001</v>
      </c>
      <c r="L108" s="6">
        <v>43.53</v>
      </c>
      <c r="M108" s="6">
        <v>142512.20000000001</v>
      </c>
      <c r="N108" s="6">
        <v>50.39</v>
      </c>
    </row>
    <row r="109" spans="1:14" x14ac:dyDescent="0.2">
      <c r="A109" s="64" t="s">
        <v>12</v>
      </c>
      <c r="B109" s="64" t="s">
        <v>288</v>
      </c>
      <c r="C109" s="64">
        <v>14</v>
      </c>
      <c r="D109" s="64">
        <v>1</v>
      </c>
      <c r="E109" s="6">
        <v>148294</v>
      </c>
      <c r="F109" s="6">
        <v>80.12</v>
      </c>
      <c r="G109" s="6">
        <v>148294</v>
      </c>
      <c r="H109" s="6">
        <v>76.06</v>
      </c>
      <c r="I109" s="6">
        <v>148294</v>
      </c>
      <c r="J109" s="6">
        <v>76.06</v>
      </c>
      <c r="K109" s="6">
        <v>148294</v>
      </c>
      <c r="L109" s="6">
        <v>77.709999999999994</v>
      </c>
      <c r="M109" s="6">
        <v>148294</v>
      </c>
      <c r="N109" s="6">
        <v>78.62</v>
      </c>
    </row>
    <row r="110" spans="1:14" x14ac:dyDescent="0.2">
      <c r="A110" s="64" t="s">
        <v>12</v>
      </c>
      <c r="B110" s="64" t="s">
        <v>288</v>
      </c>
      <c r="C110" s="64">
        <v>16</v>
      </c>
      <c r="D110" s="64">
        <v>1</v>
      </c>
      <c r="E110" s="6">
        <v>180312.02</v>
      </c>
      <c r="F110" s="6">
        <v>104.8</v>
      </c>
      <c r="G110" s="6">
        <v>180312.02</v>
      </c>
      <c r="H110" s="6">
        <v>86.85</v>
      </c>
      <c r="I110" s="6">
        <v>180312.02</v>
      </c>
      <c r="J110" s="6">
        <v>86.85</v>
      </c>
      <c r="K110" s="6">
        <v>180312.02</v>
      </c>
      <c r="L110" s="6">
        <v>87.36</v>
      </c>
      <c r="M110" s="6">
        <v>180312.02</v>
      </c>
      <c r="N110" s="6">
        <v>104.72</v>
      </c>
    </row>
    <row r="111" spans="1:14" x14ac:dyDescent="0.2">
      <c r="A111" s="64" t="s">
        <v>12</v>
      </c>
      <c r="B111" s="64" t="s">
        <v>288</v>
      </c>
      <c r="C111" s="64">
        <v>18</v>
      </c>
      <c r="D111" s="64">
        <v>1</v>
      </c>
      <c r="E111" s="6">
        <v>186706.28</v>
      </c>
      <c r="F111" s="6">
        <v>86.13</v>
      </c>
      <c r="G111" s="6">
        <v>188017.59</v>
      </c>
      <c r="H111" s="6">
        <v>98.85</v>
      </c>
      <c r="I111" s="6">
        <v>188017.59</v>
      </c>
      <c r="J111" s="6">
        <v>98.85</v>
      </c>
      <c r="K111" s="6">
        <v>186706.28</v>
      </c>
      <c r="L111" s="6">
        <v>105.51</v>
      </c>
      <c r="M111" s="6">
        <v>188017.59</v>
      </c>
      <c r="N111" s="6">
        <v>102.53</v>
      </c>
    </row>
    <row r="112" spans="1:14" x14ac:dyDescent="0.2">
      <c r="A112" s="64" t="s">
        <v>12</v>
      </c>
      <c r="B112" s="64" t="s">
        <v>288</v>
      </c>
      <c r="C112" s="64">
        <v>20</v>
      </c>
      <c r="D112" s="64">
        <v>1</v>
      </c>
      <c r="E112" s="6">
        <v>213432.48</v>
      </c>
      <c r="F112" s="6">
        <v>109.29</v>
      </c>
      <c r="G112" s="6">
        <v>213432.48</v>
      </c>
      <c r="H112" s="6">
        <v>92.05</v>
      </c>
      <c r="I112" s="6">
        <v>213432.48</v>
      </c>
      <c r="J112" s="6">
        <v>92.05</v>
      </c>
      <c r="K112" s="6">
        <v>213432.48</v>
      </c>
      <c r="L112" s="6">
        <v>117.88</v>
      </c>
      <c r="M112" s="6">
        <v>213432.48</v>
      </c>
      <c r="N112" s="6">
        <v>117.75</v>
      </c>
    </row>
    <row r="113" spans="1:14" x14ac:dyDescent="0.2">
      <c r="A113" s="64" t="s">
        <v>12</v>
      </c>
      <c r="B113" s="64" t="s">
        <v>288</v>
      </c>
      <c r="C113" s="64">
        <v>22</v>
      </c>
      <c r="D113" s="64">
        <v>1</v>
      </c>
      <c r="E113" s="6">
        <v>231152.34</v>
      </c>
      <c r="F113" s="6">
        <v>99.55</v>
      </c>
      <c r="G113" s="6">
        <v>231152.34</v>
      </c>
      <c r="H113" s="6">
        <v>100.49</v>
      </c>
      <c r="I113" s="6">
        <v>231152.34</v>
      </c>
      <c r="J113" s="6">
        <v>100.49</v>
      </c>
      <c r="K113" s="6">
        <v>231152.34</v>
      </c>
      <c r="L113" s="6">
        <v>106.6</v>
      </c>
      <c r="M113" s="6">
        <v>231152.34</v>
      </c>
      <c r="N113" s="6">
        <v>101.06</v>
      </c>
    </row>
    <row r="114" spans="1:14" x14ac:dyDescent="0.2">
      <c r="A114" s="64"/>
      <c r="B114" s="64"/>
      <c r="C114" s="64"/>
      <c r="D114" s="64"/>
      <c r="E114" s="6"/>
      <c r="F114" s="6"/>
      <c r="K114" s="6"/>
      <c r="L114" s="6"/>
      <c r="M114" s="6"/>
      <c r="N114" s="6"/>
    </row>
    <row r="115" spans="1:14" x14ac:dyDescent="0.2">
      <c r="A115" s="64" t="s">
        <v>12</v>
      </c>
      <c r="B115" s="64" t="s">
        <v>288</v>
      </c>
      <c r="C115" s="64">
        <v>4</v>
      </c>
      <c r="D115" s="64">
        <v>0.5</v>
      </c>
      <c r="E115" s="6">
        <v>68488.22</v>
      </c>
      <c r="F115" s="6">
        <v>16.059999999999999</v>
      </c>
      <c r="G115" s="6">
        <v>68488.22</v>
      </c>
      <c r="H115" s="6">
        <v>15.05</v>
      </c>
      <c r="I115" s="6">
        <v>68488.22</v>
      </c>
      <c r="J115" s="6">
        <v>15.05</v>
      </c>
      <c r="K115" s="6">
        <v>68488.22</v>
      </c>
      <c r="L115" s="6">
        <v>14.97</v>
      </c>
      <c r="M115" s="6">
        <v>68488.22</v>
      </c>
      <c r="N115" s="6">
        <v>16.510000000000002</v>
      </c>
    </row>
    <row r="116" spans="1:14" x14ac:dyDescent="0.2">
      <c r="A116" s="64" t="s">
        <v>12</v>
      </c>
      <c r="B116" s="64" t="s">
        <v>288</v>
      </c>
      <c r="C116" s="64">
        <v>6</v>
      </c>
      <c r="D116" s="64">
        <v>0.5</v>
      </c>
      <c r="E116" s="6">
        <v>84119.66</v>
      </c>
      <c r="F116" s="6">
        <v>22.33</v>
      </c>
      <c r="G116" s="6">
        <v>84119.66</v>
      </c>
      <c r="H116" s="6">
        <v>21.89</v>
      </c>
      <c r="I116" s="6">
        <v>84119.66</v>
      </c>
      <c r="J116" s="6">
        <v>21.89</v>
      </c>
      <c r="K116" s="6">
        <v>84119.66</v>
      </c>
      <c r="L116" s="6">
        <v>22.25</v>
      </c>
      <c r="M116" s="6">
        <v>84119.66</v>
      </c>
      <c r="N116" s="6">
        <v>22.16</v>
      </c>
    </row>
    <row r="117" spans="1:14" x14ac:dyDescent="0.2">
      <c r="A117" s="64" t="s">
        <v>12</v>
      </c>
      <c r="B117" s="64" t="s">
        <v>288</v>
      </c>
      <c r="C117" s="64">
        <v>8</v>
      </c>
      <c r="D117" s="64">
        <v>0.5</v>
      </c>
      <c r="E117" s="6">
        <v>136465.04</v>
      </c>
      <c r="F117" s="6">
        <v>38.35</v>
      </c>
      <c r="G117" s="6">
        <v>136465.04</v>
      </c>
      <c r="H117" s="6">
        <v>34.57</v>
      </c>
      <c r="I117" s="6">
        <v>136465.04</v>
      </c>
      <c r="J117" s="6">
        <v>34.57</v>
      </c>
      <c r="K117" s="6">
        <v>136465.04</v>
      </c>
      <c r="L117" s="6">
        <v>32.79</v>
      </c>
      <c r="M117" s="6">
        <v>136465.04</v>
      </c>
      <c r="N117" s="6">
        <v>36.04</v>
      </c>
    </row>
    <row r="118" spans="1:14" x14ac:dyDescent="0.2">
      <c r="A118" s="64" t="s">
        <v>12</v>
      </c>
      <c r="B118" s="64" t="s">
        <v>288</v>
      </c>
      <c r="C118" s="64">
        <v>10</v>
      </c>
      <c r="D118" s="64">
        <v>0.5</v>
      </c>
      <c r="E118" s="6">
        <v>165737.24</v>
      </c>
      <c r="F118" s="6">
        <v>47.31</v>
      </c>
      <c r="G118" s="6">
        <v>165737.24</v>
      </c>
      <c r="H118" s="6">
        <v>47.11</v>
      </c>
      <c r="I118" s="6">
        <v>165737.24</v>
      </c>
      <c r="J118" s="6">
        <v>47.11</v>
      </c>
      <c r="K118" s="6">
        <v>165737.24</v>
      </c>
      <c r="L118" s="6">
        <v>49.64</v>
      </c>
      <c r="M118" s="6">
        <v>165737.24</v>
      </c>
      <c r="N118" s="6">
        <v>47.33</v>
      </c>
    </row>
    <row r="119" spans="1:14" x14ac:dyDescent="0.2">
      <c r="A119" s="64" t="s">
        <v>12</v>
      </c>
      <c r="B119" s="64" t="s">
        <v>288</v>
      </c>
      <c r="C119" s="64">
        <v>12</v>
      </c>
      <c r="D119" s="64">
        <v>0.5</v>
      </c>
      <c r="E119" s="6">
        <v>184868.02</v>
      </c>
      <c r="F119" s="6">
        <v>66.430000000000007</v>
      </c>
      <c r="G119" s="6">
        <v>184868.02</v>
      </c>
      <c r="H119" s="6">
        <v>71.55</v>
      </c>
      <c r="I119" s="6">
        <v>184868.02</v>
      </c>
      <c r="J119" s="6">
        <v>71.55</v>
      </c>
      <c r="K119" s="6">
        <v>184868.02</v>
      </c>
      <c r="L119" s="6">
        <v>60.73</v>
      </c>
      <c r="M119" s="6">
        <v>184868.02</v>
      </c>
      <c r="N119" s="6">
        <v>64.13</v>
      </c>
    </row>
    <row r="120" spans="1:14" x14ac:dyDescent="0.2">
      <c r="A120" s="64" t="s">
        <v>12</v>
      </c>
      <c r="B120" s="64" t="s">
        <v>288</v>
      </c>
      <c r="C120" s="64">
        <v>14</v>
      </c>
      <c r="D120" s="64">
        <v>0.5</v>
      </c>
      <c r="E120" s="6">
        <v>185431.13</v>
      </c>
      <c r="F120" s="6">
        <v>122.84</v>
      </c>
      <c r="G120" s="6">
        <v>185431.13</v>
      </c>
      <c r="H120" s="6">
        <v>97.12</v>
      </c>
      <c r="I120" s="6">
        <v>185431.13</v>
      </c>
      <c r="J120" s="6">
        <v>97.12</v>
      </c>
      <c r="K120" s="6">
        <v>185431.13</v>
      </c>
      <c r="L120" s="6">
        <v>114.78</v>
      </c>
      <c r="M120" s="6">
        <v>185431.13</v>
      </c>
      <c r="N120" s="6">
        <v>136.08000000000001</v>
      </c>
    </row>
    <row r="121" spans="1:14" x14ac:dyDescent="0.2">
      <c r="A121" s="64" t="s">
        <v>12</v>
      </c>
      <c r="B121" s="64" t="s">
        <v>288</v>
      </c>
      <c r="C121" s="64">
        <v>16</v>
      </c>
      <c r="D121" s="64">
        <v>0.5</v>
      </c>
      <c r="E121" s="6">
        <v>226564.25</v>
      </c>
      <c r="F121" s="6">
        <v>176.22</v>
      </c>
      <c r="G121" s="6">
        <v>226564.25</v>
      </c>
      <c r="H121" s="6">
        <v>158.68</v>
      </c>
      <c r="I121" s="6">
        <v>226564.25</v>
      </c>
      <c r="J121" s="6">
        <v>158.68</v>
      </c>
      <c r="K121" s="6">
        <v>226847.34</v>
      </c>
      <c r="L121" s="6">
        <v>116.47</v>
      </c>
      <c r="M121" s="6">
        <v>226564.25</v>
      </c>
      <c r="N121" s="6">
        <v>118.83</v>
      </c>
    </row>
    <row r="122" spans="1:14" x14ac:dyDescent="0.2">
      <c r="A122" s="64" t="s">
        <v>12</v>
      </c>
      <c r="B122" s="64" t="s">
        <v>288</v>
      </c>
      <c r="C122" s="64">
        <v>18</v>
      </c>
      <c r="D122" s="64">
        <v>0.5</v>
      </c>
      <c r="E122" s="6">
        <v>239558.25</v>
      </c>
      <c r="F122" s="6">
        <v>194.42</v>
      </c>
      <c r="G122" s="6">
        <v>239558.25</v>
      </c>
      <c r="H122" s="6">
        <v>156.26</v>
      </c>
      <c r="I122" s="6">
        <v>239558.25</v>
      </c>
      <c r="J122" s="6">
        <v>156.26</v>
      </c>
      <c r="K122" s="6">
        <v>236079.1</v>
      </c>
      <c r="L122" s="6">
        <v>148.68</v>
      </c>
      <c r="M122" s="6">
        <v>236079.1</v>
      </c>
      <c r="N122" s="6">
        <v>156.38999999999999</v>
      </c>
    </row>
    <row r="123" spans="1:14" x14ac:dyDescent="0.2">
      <c r="A123" s="64" t="s">
        <v>12</v>
      </c>
      <c r="B123" s="64" t="s">
        <v>288</v>
      </c>
      <c r="C123" s="64">
        <v>20</v>
      </c>
      <c r="D123" s="64">
        <v>0.5</v>
      </c>
      <c r="E123" s="6">
        <v>267607.8</v>
      </c>
      <c r="F123" s="6">
        <v>161.82</v>
      </c>
      <c r="G123" s="6">
        <v>267607.8</v>
      </c>
      <c r="H123" s="6">
        <v>176.62</v>
      </c>
      <c r="I123" s="6">
        <v>267607.8</v>
      </c>
      <c r="J123" s="6">
        <v>176.62</v>
      </c>
      <c r="K123" s="6">
        <v>267673.40999999997</v>
      </c>
      <c r="L123" s="6">
        <v>136.21</v>
      </c>
      <c r="M123" s="6">
        <v>267673.40999999997</v>
      </c>
      <c r="N123" s="6">
        <v>182.98</v>
      </c>
    </row>
    <row r="124" spans="1:14" x14ac:dyDescent="0.2">
      <c r="A124" s="64" t="s">
        <v>12</v>
      </c>
      <c r="B124" s="64" t="s">
        <v>288</v>
      </c>
      <c r="C124" s="64">
        <v>22</v>
      </c>
      <c r="D124" s="64">
        <v>0.5</v>
      </c>
      <c r="E124" s="6">
        <v>289271.25</v>
      </c>
      <c r="F124" s="6">
        <v>137.27000000000001</v>
      </c>
      <c r="G124" s="6">
        <v>289396.83</v>
      </c>
      <c r="H124" s="6">
        <v>163.34</v>
      </c>
      <c r="I124" s="6">
        <v>289396.83</v>
      </c>
      <c r="J124" s="6">
        <v>163.34</v>
      </c>
      <c r="K124" s="6">
        <v>288896.26</v>
      </c>
      <c r="L124" s="6">
        <v>128.61000000000001</v>
      </c>
      <c r="M124" s="6">
        <v>288932.93</v>
      </c>
      <c r="N124" s="6">
        <v>166.16</v>
      </c>
    </row>
    <row r="125" spans="1:14" x14ac:dyDescent="0.2">
      <c r="E125" s="6"/>
      <c r="F125" s="6"/>
      <c r="G125" s="6"/>
      <c r="H125" s="6"/>
      <c r="I125" s="6"/>
      <c r="J125" s="6"/>
      <c r="K125" s="6"/>
      <c r="L125" s="6"/>
      <c r="M125" s="6"/>
      <c r="N125" s="6"/>
    </row>
    <row r="126" spans="1:14" x14ac:dyDescent="0.2">
      <c r="A126" s="64" t="s">
        <v>12</v>
      </c>
      <c r="B126" s="64" t="s">
        <v>288</v>
      </c>
      <c r="C126" s="64">
        <v>4</v>
      </c>
      <c r="D126" s="64">
        <v>0.3</v>
      </c>
      <c r="E126" s="6">
        <v>79231.92</v>
      </c>
      <c r="F126" s="6">
        <v>16.71</v>
      </c>
      <c r="G126" s="6">
        <v>79231.92</v>
      </c>
      <c r="H126" s="6">
        <v>17.37</v>
      </c>
      <c r="I126" s="6">
        <v>79231.92</v>
      </c>
      <c r="J126" s="6">
        <v>17.37</v>
      </c>
      <c r="K126" s="6">
        <v>80230.94</v>
      </c>
      <c r="L126" s="6">
        <v>16.64</v>
      </c>
      <c r="M126" s="6">
        <v>79231.92</v>
      </c>
      <c r="N126" s="6">
        <v>17.59</v>
      </c>
    </row>
    <row r="127" spans="1:14" x14ac:dyDescent="0.2">
      <c r="A127" s="64" t="s">
        <v>12</v>
      </c>
      <c r="B127" s="64" t="s">
        <v>288</v>
      </c>
      <c r="C127" s="64">
        <v>6</v>
      </c>
      <c r="D127" s="64">
        <v>0.3</v>
      </c>
      <c r="E127" s="6">
        <v>92074.54</v>
      </c>
      <c r="F127" s="6">
        <v>21.96</v>
      </c>
      <c r="G127" s="6">
        <v>92074.54</v>
      </c>
      <c r="H127" s="6">
        <v>21.98</v>
      </c>
      <c r="I127" s="6">
        <v>92074.54</v>
      </c>
      <c r="J127" s="6">
        <v>21.98</v>
      </c>
      <c r="K127" s="6">
        <v>92074.54</v>
      </c>
      <c r="L127" s="6">
        <v>21.47</v>
      </c>
      <c r="M127" s="6">
        <v>92074.54</v>
      </c>
      <c r="N127" s="6">
        <v>22.71</v>
      </c>
    </row>
    <row r="128" spans="1:14" x14ac:dyDescent="0.2">
      <c r="A128" s="64" t="s">
        <v>12</v>
      </c>
      <c r="B128" s="64" t="s">
        <v>288</v>
      </c>
      <c r="C128" s="64">
        <v>8</v>
      </c>
      <c r="D128" s="64">
        <v>0.3</v>
      </c>
      <c r="E128" s="6">
        <v>158793.37</v>
      </c>
      <c r="F128" s="6">
        <v>40.81</v>
      </c>
      <c r="G128" s="6">
        <v>158793.37</v>
      </c>
      <c r="H128" s="6">
        <v>40.630000000000003</v>
      </c>
      <c r="I128" s="6">
        <v>158793.37</v>
      </c>
      <c r="J128" s="6">
        <v>40.630000000000003</v>
      </c>
      <c r="K128" s="6">
        <v>158793.37</v>
      </c>
      <c r="L128" s="6">
        <v>36.97</v>
      </c>
      <c r="M128" s="6">
        <v>158793.37</v>
      </c>
      <c r="N128" s="6">
        <v>41.03</v>
      </c>
    </row>
    <row r="129" spans="1:14" x14ac:dyDescent="0.2">
      <c r="A129" s="64" t="s">
        <v>12</v>
      </c>
      <c r="B129" s="64" t="s">
        <v>288</v>
      </c>
      <c r="C129" s="64">
        <v>10</v>
      </c>
      <c r="D129" s="64">
        <v>0.3</v>
      </c>
      <c r="E129" s="6">
        <v>197576</v>
      </c>
      <c r="F129" s="6">
        <v>56.67</v>
      </c>
      <c r="G129" s="6">
        <v>197576</v>
      </c>
      <c r="H129" s="6">
        <v>53.62</v>
      </c>
      <c r="I129" s="6">
        <v>197576</v>
      </c>
      <c r="J129" s="6">
        <v>53.62</v>
      </c>
      <c r="K129" s="6">
        <v>197576</v>
      </c>
      <c r="L129" s="6">
        <v>55.15</v>
      </c>
      <c r="M129" s="6">
        <v>197576</v>
      </c>
      <c r="N129" s="6">
        <v>58.88</v>
      </c>
    </row>
    <row r="130" spans="1:14" x14ac:dyDescent="0.2">
      <c r="A130" s="64" t="s">
        <v>12</v>
      </c>
      <c r="B130" s="64" t="s">
        <v>288</v>
      </c>
      <c r="C130" s="64">
        <v>12</v>
      </c>
      <c r="D130" s="64">
        <v>0.3</v>
      </c>
      <c r="E130" s="6">
        <v>223856.68</v>
      </c>
      <c r="F130" s="6">
        <v>74.92</v>
      </c>
      <c r="G130" s="6">
        <v>223161.64</v>
      </c>
      <c r="H130" s="6">
        <v>75.209999999999994</v>
      </c>
      <c r="I130" s="6">
        <v>223161.64</v>
      </c>
      <c r="J130" s="6">
        <v>75.209999999999994</v>
      </c>
      <c r="K130" s="6">
        <v>223856.68</v>
      </c>
      <c r="L130" s="6">
        <v>73.099999999999994</v>
      </c>
      <c r="M130" s="14">
        <v>223856.68</v>
      </c>
      <c r="N130" s="14">
        <v>75.760000000000005</v>
      </c>
    </row>
    <row r="131" spans="1:14" x14ac:dyDescent="0.2">
      <c r="A131" s="64" t="s">
        <v>12</v>
      </c>
      <c r="B131" s="64" t="s">
        <v>288</v>
      </c>
      <c r="C131" s="64">
        <v>14</v>
      </c>
      <c r="D131" s="64">
        <v>0.3</v>
      </c>
      <c r="E131" s="6">
        <v>223861.69</v>
      </c>
      <c r="F131" s="6">
        <v>405.31</v>
      </c>
      <c r="G131" s="6">
        <v>224315.25</v>
      </c>
      <c r="H131" s="6">
        <v>446.38</v>
      </c>
      <c r="I131" s="6">
        <v>224315.25</v>
      </c>
      <c r="J131" s="6">
        <v>446.38</v>
      </c>
      <c r="K131" s="6">
        <v>222384.77</v>
      </c>
      <c r="L131" s="6">
        <v>266.57</v>
      </c>
      <c r="M131" s="14">
        <v>223297.15</v>
      </c>
      <c r="N131" s="14">
        <v>363.93</v>
      </c>
    </row>
    <row r="132" spans="1:14" x14ac:dyDescent="0.2">
      <c r="A132" s="64" t="s">
        <v>12</v>
      </c>
      <c r="B132" s="64" t="s">
        <v>288</v>
      </c>
      <c r="C132" s="64">
        <v>16</v>
      </c>
      <c r="D132" s="64">
        <v>0.3</v>
      </c>
      <c r="E132" s="6">
        <v>269239.40000000002</v>
      </c>
      <c r="F132" s="6">
        <v>516.54999999999995</v>
      </c>
      <c r="G132" s="6">
        <v>269184.86</v>
      </c>
      <c r="H132" s="6">
        <v>280.8</v>
      </c>
      <c r="I132" s="6">
        <v>269184.86</v>
      </c>
      <c r="J132" s="6">
        <v>280.8</v>
      </c>
      <c r="K132" s="6">
        <v>265051.99</v>
      </c>
      <c r="L132" s="6">
        <v>344.92</v>
      </c>
      <c r="M132" s="14">
        <v>267545.31</v>
      </c>
      <c r="N132" s="14">
        <v>413.95</v>
      </c>
    </row>
    <row r="133" spans="1:14" x14ac:dyDescent="0.2">
      <c r="A133" s="64" t="s">
        <v>12</v>
      </c>
      <c r="B133" s="64" t="s">
        <v>288</v>
      </c>
      <c r="C133" s="64">
        <v>18</v>
      </c>
      <c r="D133" s="64">
        <v>0.3</v>
      </c>
      <c r="E133" s="6">
        <v>291728.87</v>
      </c>
      <c r="F133" s="6">
        <v>539.85</v>
      </c>
      <c r="G133" s="6">
        <v>284931.73</v>
      </c>
      <c r="H133" s="6">
        <v>519.79999999999995</v>
      </c>
      <c r="I133" s="6">
        <v>284931.73</v>
      </c>
      <c r="J133" s="6">
        <v>519.79999999999995</v>
      </c>
      <c r="K133" s="6">
        <v>289723.62</v>
      </c>
      <c r="L133" s="6">
        <v>374.06</v>
      </c>
      <c r="M133" s="14">
        <v>292027.58</v>
      </c>
      <c r="N133" s="14">
        <v>538.30999999999995</v>
      </c>
    </row>
    <row r="134" spans="1:14" x14ac:dyDescent="0.2">
      <c r="A134" s="64" t="s">
        <v>12</v>
      </c>
      <c r="B134" s="64" t="s">
        <v>288</v>
      </c>
      <c r="C134" s="64">
        <v>20</v>
      </c>
      <c r="D134" s="64">
        <v>0.3</v>
      </c>
      <c r="E134" s="6">
        <v>312868.53999999998</v>
      </c>
      <c r="F134" s="6">
        <v>578.11</v>
      </c>
      <c r="G134" s="6">
        <v>309850.86</v>
      </c>
      <c r="H134" s="6">
        <v>641.15</v>
      </c>
      <c r="I134" s="6">
        <v>309850.86</v>
      </c>
      <c r="J134" s="6">
        <v>641.15</v>
      </c>
      <c r="K134" s="6">
        <v>312531.73</v>
      </c>
      <c r="L134" s="6">
        <v>347.42</v>
      </c>
      <c r="M134" s="14">
        <v>311361.44</v>
      </c>
      <c r="N134" s="14">
        <v>354.25</v>
      </c>
    </row>
    <row r="135" spans="1:14" x14ac:dyDescent="0.2">
      <c r="A135" s="64" t="s">
        <v>12</v>
      </c>
      <c r="B135" s="64" t="s">
        <v>288</v>
      </c>
      <c r="C135" s="64">
        <v>22</v>
      </c>
      <c r="D135" s="64">
        <v>0.3</v>
      </c>
      <c r="E135" s="6">
        <v>339124</v>
      </c>
      <c r="F135" s="6">
        <v>539.33000000000004</v>
      </c>
      <c r="G135" s="6">
        <v>339485.78</v>
      </c>
      <c r="H135" s="6">
        <v>437.39</v>
      </c>
      <c r="I135" s="6">
        <v>339485.78</v>
      </c>
      <c r="J135" s="6">
        <v>437.39</v>
      </c>
      <c r="K135" s="6">
        <v>340493.5</v>
      </c>
      <c r="L135" s="6">
        <v>365.06</v>
      </c>
      <c r="M135" s="14">
        <v>337734.94</v>
      </c>
      <c r="N135" s="14">
        <v>538.27</v>
      </c>
    </row>
    <row r="136" spans="1:14" x14ac:dyDescent="0.2">
      <c r="A136" s="66"/>
      <c r="B136" s="66"/>
      <c r="C136" s="66"/>
      <c r="D136" s="66"/>
      <c r="E136" s="5"/>
      <c r="F136" s="5"/>
      <c r="G136" s="66"/>
      <c r="H136" s="66"/>
      <c r="I136" s="66"/>
      <c r="J136" s="66"/>
      <c r="K136" s="66"/>
      <c r="L136" s="66"/>
      <c r="M136" s="66"/>
      <c r="N136" s="66"/>
    </row>
    <row r="137" spans="1:14" x14ac:dyDescent="0.2">
      <c r="A137" s="64" t="s">
        <v>13</v>
      </c>
      <c r="B137" s="64" t="s">
        <v>288</v>
      </c>
      <c r="C137" s="64">
        <v>4</v>
      </c>
      <c r="D137" s="64">
        <v>1</v>
      </c>
      <c r="E137" s="6">
        <v>62281.81</v>
      </c>
      <c r="F137" s="6">
        <v>15.77</v>
      </c>
      <c r="G137" s="6">
        <v>62281.81</v>
      </c>
      <c r="H137" s="6">
        <v>15.71</v>
      </c>
      <c r="I137" s="6">
        <v>62281.81</v>
      </c>
      <c r="J137" s="6">
        <v>15.71</v>
      </c>
      <c r="K137" s="6">
        <v>62281.81</v>
      </c>
      <c r="L137" s="6">
        <v>15.71</v>
      </c>
      <c r="M137" s="6">
        <v>62281.81</v>
      </c>
      <c r="N137" s="6">
        <v>15.99</v>
      </c>
    </row>
    <row r="138" spans="1:14" x14ac:dyDescent="0.2">
      <c r="A138" s="64" t="s">
        <v>13</v>
      </c>
      <c r="B138" s="64" t="s">
        <v>288</v>
      </c>
      <c r="C138" s="64">
        <v>6</v>
      </c>
      <c r="D138" s="64">
        <v>1</v>
      </c>
      <c r="E138" s="6">
        <v>94057.37</v>
      </c>
      <c r="F138" s="6">
        <v>22.01</v>
      </c>
      <c r="G138" s="6">
        <v>94057.37</v>
      </c>
      <c r="H138" s="6">
        <v>22.71</v>
      </c>
      <c r="I138" s="6">
        <v>94057.37</v>
      </c>
      <c r="J138" s="6">
        <v>22.71</v>
      </c>
      <c r="K138" s="6">
        <v>94057.37</v>
      </c>
      <c r="L138" s="6">
        <v>21.64</v>
      </c>
      <c r="M138" s="6">
        <v>94057.37</v>
      </c>
      <c r="N138" s="6">
        <v>22.12</v>
      </c>
    </row>
    <row r="139" spans="1:14" x14ac:dyDescent="0.2">
      <c r="A139" s="64" t="s">
        <v>13</v>
      </c>
      <c r="B139" s="64" t="s">
        <v>288</v>
      </c>
      <c r="C139" s="64">
        <v>8</v>
      </c>
      <c r="D139" s="64">
        <v>1</v>
      </c>
      <c r="E139" s="6">
        <v>115277.04</v>
      </c>
      <c r="F139" s="6">
        <v>39.020000000000003</v>
      </c>
      <c r="G139" s="6">
        <v>115277.04</v>
      </c>
      <c r="H139" s="6">
        <v>35.299999999999997</v>
      </c>
      <c r="I139" s="6">
        <v>115277.04</v>
      </c>
      <c r="J139" s="6">
        <v>35.299999999999997</v>
      </c>
      <c r="K139" s="6">
        <v>115277.04</v>
      </c>
      <c r="L139" s="6">
        <v>34.44</v>
      </c>
      <c r="M139" s="6">
        <v>115277.04</v>
      </c>
      <c r="N139" s="6">
        <v>41.53</v>
      </c>
    </row>
    <row r="140" spans="1:14" x14ac:dyDescent="0.2">
      <c r="A140" s="64" t="s">
        <v>13</v>
      </c>
      <c r="B140" s="64" t="s">
        <v>288</v>
      </c>
      <c r="C140" s="64">
        <v>10</v>
      </c>
      <c r="D140" s="64">
        <v>1</v>
      </c>
      <c r="E140" s="6">
        <v>132866.6</v>
      </c>
      <c r="F140" s="6">
        <v>43.01</v>
      </c>
      <c r="G140" s="6">
        <v>132866.6</v>
      </c>
      <c r="H140" s="6">
        <v>35.61</v>
      </c>
      <c r="I140" s="6">
        <v>132866.6</v>
      </c>
      <c r="J140" s="6">
        <v>35.61</v>
      </c>
      <c r="K140" s="6">
        <v>132866.6</v>
      </c>
      <c r="L140" s="6">
        <v>36.56</v>
      </c>
      <c r="M140" s="6">
        <v>132866.6</v>
      </c>
      <c r="N140" s="6">
        <v>39.35</v>
      </c>
    </row>
    <row r="141" spans="1:14" x14ac:dyDescent="0.2">
      <c r="A141" s="64" t="s">
        <v>13</v>
      </c>
      <c r="B141" s="64" t="s">
        <v>288</v>
      </c>
      <c r="C141" s="64">
        <v>12</v>
      </c>
      <c r="D141" s="64">
        <v>1</v>
      </c>
      <c r="E141" s="6">
        <v>152332.85</v>
      </c>
      <c r="F141" s="6">
        <v>63.54</v>
      </c>
      <c r="G141" s="6">
        <v>152332.85</v>
      </c>
      <c r="H141" s="6">
        <v>58.29</v>
      </c>
      <c r="I141" s="6">
        <v>152332.85</v>
      </c>
      <c r="J141" s="6">
        <v>58.29</v>
      </c>
      <c r="K141" s="6">
        <v>152332.85</v>
      </c>
      <c r="L141" s="6">
        <v>56.47</v>
      </c>
      <c r="M141" s="6">
        <v>152332.85</v>
      </c>
      <c r="N141" s="6">
        <v>58.71</v>
      </c>
    </row>
    <row r="142" spans="1:14" x14ac:dyDescent="0.2">
      <c r="A142" s="64" t="s">
        <v>13</v>
      </c>
      <c r="B142" s="64" t="s">
        <v>288</v>
      </c>
      <c r="C142" s="64">
        <v>14</v>
      </c>
      <c r="D142" s="64">
        <v>1</v>
      </c>
      <c r="E142" s="6">
        <v>176659.73</v>
      </c>
      <c r="F142" s="6">
        <v>69.17</v>
      </c>
      <c r="G142" s="6">
        <v>176659.73</v>
      </c>
      <c r="H142" s="6">
        <v>69.790000000000006</v>
      </c>
      <c r="I142" s="6">
        <v>176659.73</v>
      </c>
      <c r="J142" s="6">
        <v>69.790000000000006</v>
      </c>
      <c r="K142" s="6">
        <v>176659.73</v>
      </c>
      <c r="L142" s="6">
        <v>65.489999999999995</v>
      </c>
      <c r="M142" s="6">
        <v>176659.73</v>
      </c>
      <c r="N142" s="6">
        <v>70.040000000000006</v>
      </c>
    </row>
    <row r="143" spans="1:14" x14ac:dyDescent="0.2">
      <c r="A143" s="64" t="s">
        <v>13</v>
      </c>
      <c r="B143" s="64" t="s">
        <v>288</v>
      </c>
      <c r="C143" s="64">
        <v>16</v>
      </c>
      <c r="D143" s="64">
        <v>1</v>
      </c>
      <c r="E143" s="6">
        <v>183068.34</v>
      </c>
      <c r="F143" s="6">
        <v>81.23</v>
      </c>
      <c r="G143" s="6">
        <v>183068.34</v>
      </c>
      <c r="H143" s="6">
        <v>81.38</v>
      </c>
      <c r="I143" s="6">
        <v>183068.34</v>
      </c>
      <c r="J143" s="6">
        <v>81.38</v>
      </c>
      <c r="K143" s="6">
        <v>183068.34</v>
      </c>
      <c r="L143" s="6">
        <v>76.88</v>
      </c>
      <c r="M143" s="6">
        <v>183068.34</v>
      </c>
      <c r="N143" s="6">
        <v>80.56</v>
      </c>
    </row>
    <row r="144" spans="1:14" x14ac:dyDescent="0.2">
      <c r="A144" s="64" t="s">
        <v>13</v>
      </c>
      <c r="B144" s="64" t="s">
        <v>288</v>
      </c>
      <c r="C144" s="64">
        <v>18</v>
      </c>
      <c r="D144" s="64">
        <v>1</v>
      </c>
      <c r="E144" s="6">
        <v>201030.6</v>
      </c>
      <c r="F144" s="6">
        <v>64.510000000000005</v>
      </c>
      <c r="G144" s="6">
        <v>199855.98</v>
      </c>
      <c r="H144" s="6">
        <v>68.22</v>
      </c>
      <c r="I144" s="6">
        <v>199855.98</v>
      </c>
      <c r="J144" s="6">
        <v>68.22</v>
      </c>
      <c r="K144" s="6">
        <v>199855.98</v>
      </c>
      <c r="L144" s="6">
        <v>76.900000000000006</v>
      </c>
      <c r="M144" s="6">
        <v>200014.81</v>
      </c>
      <c r="N144" s="6">
        <v>72.650000000000006</v>
      </c>
    </row>
    <row r="145" spans="1:14" x14ac:dyDescent="0.2">
      <c r="A145" s="64" t="s">
        <v>13</v>
      </c>
      <c r="B145" s="64" t="s">
        <v>288</v>
      </c>
      <c r="C145" s="64">
        <v>20</v>
      </c>
      <c r="D145" s="64">
        <v>1</v>
      </c>
      <c r="E145" s="6">
        <v>212088.55</v>
      </c>
      <c r="F145" s="6">
        <v>99.66</v>
      </c>
      <c r="G145" s="6">
        <v>212088.55</v>
      </c>
      <c r="H145" s="6">
        <v>84.69</v>
      </c>
      <c r="I145" s="6">
        <v>212088.55</v>
      </c>
      <c r="J145" s="6">
        <v>84.69</v>
      </c>
      <c r="K145" s="6">
        <v>212088.55</v>
      </c>
      <c r="L145" s="6">
        <v>96.8</v>
      </c>
      <c r="M145" s="6">
        <v>212088.55</v>
      </c>
      <c r="N145" s="6">
        <v>109.28</v>
      </c>
    </row>
    <row r="146" spans="1:14" x14ac:dyDescent="0.2">
      <c r="A146" s="64" t="s">
        <v>13</v>
      </c>
      <c r="B146" s="64" t="s">
        <v>288</v>
      </c>
      <c r="C146" s="64">
        <v>22</v>
      </c>
      <c r="D146" s="64">
        <v>1</v>
      </c>
      <c r="E146" s="6">
        <v>230776.24</v>
      </c>
      <c r="F146" s="6">
        <v>80.56</v>
      </c>
      <c r="G146" s="6">
        <v>230776.24</v>
      </c>
      <c r="H146" s="6">
        <v>84.07</v>
      </c>
      <c r="I146" s="6">
        <v>230776.24</v>
      </c>
      <c r="J146" s="6">
        <v>84.07</v>
      </c>
      <c r="K146" s="6">
        <v>230776.24</v>
      </c>
      <c r="L146" s="6">
        <v>91.43</v>
      </c>
      <c r="M146" s="6">
        <v>230776.24</v>
      </c>
      <c r="N146" s="6">
        <v>83.42</v>
      </c>
    </row>
    <row r="147" spans="1:14" x14ac:dyDescent="0.2">
      <c r="A147" s="64"/>
      <c r="B147" s="64"/>
      <c r="C147" s="64"/>
      <c r="D147" s="64"/>
      <c r="E147" s="6"/>
      <c r="F147" s="6"/>
      <c r="G147" s="6"/>
      <c r="H147" s="6"/>
      <c r="I147" s="6"/>
      <c r="J147" s="6"/>
      <c r="K147" s="6"/>
      <c r="L147" s="6"/>
      <c r="M147" s="6"/>
      <c r="N147" s="6"/>
    </row>
    <row r="148" spans="1:14" x14ac:dyDescent="0.2">
      <c r="A148" s="64" t="s">
        <v>13</v>
      </c>
      <c r="B148" s="64" t="s">
        <v>288</v>
      </c>
      <c r="C148" s="64">
        <v>4</v>
      </c>
      <c r="D148" s="64">
        <v>0.5</v>
      </c>
      <c r="E148" s="6">
        <v>76692.34</v>
      </c>
      <c r="F148" s="6">
        <v>15.62</v>
      </c>
      <c r="G148" s="6">
        <v>76692.34</v>
      </c>
      <c r="H148" s="6">
        <v>16.309999999999999</v>
      </c>
      <c r="I148" s="6">
        <v>76692.34</v>
      </c>
      <c r="J148" s="6">
        <v>16.309999999999999</v>
      </c>
      <c r="K148" s="6">
        <v>76692.34</v>
      </c>
      <c r="L148" s="6">
        <v>16.72</v>
      </c>
      <c r="M148" s="6">
        <v>76692.34</v>
      </c>
      <c r="N148" s="6">
        <v>17.18</v>
      </c>
    </row>
    <row r="149" spans="1:14" x14ac:dyDescent="0.2">
      <c r="A149" s="64" t="s">
        <v>13</v>
      </c>
      <c r="B149" s="64" t="s">
        <v>288</v>
      </c>
      <c r="C149" s="64">
        <v>6</v>
      </c>
      <c r="D149" s="64">
        <v>0.5</v>
      </c>
      <c r="E149" s="6">
        <v>118457.29</v>
      </c>
      <c r="F149" s="6">
        <v>34.409999999999997</v>
      </c>
      <c r="G149" s="6">
        <v>118457.29</v>
      </c>
      <c r="H149" s="6">
        <v>30.84</v>
      </c>
      <c r="I149" s="6">
        <v>118457.29</v>
      </c>
      <c r="J149" s="6">
        <v>30.84</v>
      </c>
      <c r="K149" s="6">
        <v>118457.29</v>
      </c>
      <c r="L149" s="6">
        <v>29</v>
      </c>
      <c r="M149" s="6">
        <v>118457.29</v>
      </c>
      <c r="N149" s="6">
        <v>29.52</v>
      </c>
    </row>
    <row r="150" spans="1:14" x14ac:dyDescent="0.2">
      <c r="A150" s="64" t="s">
        <v>13</v>
      </c>
      <c r="B150" s="64" t="s">
        <v>288</v>
      </c>
      <c r="C150" s="64">
        <v>8</v>
      </c>
      <c r="D150" s="64">
        <v>0.5</v>
      </c>
      <c r="E150" s="6">
        <v>143463.82</v>
      </c>
      <c r="F150" s="6">
        <v>53.26</v>
      </c>
      <c r="G150" s="6">
        <v>143463.82</v>
      </c>
      <c r="H150" s="6">
        <v>44.89</v>
      </c>
      <c r="I150" s="6">
        <v>143463.82</v>
      </c>
      <c r="J150" s="6">
        <v>44.89</v>
      </c>
      <c r="K150" s="6">
        <v>143463.82</v>
      </c>
      <c r="L150" s="6">
        <v>43.85</v>
      </c>
      <c r="M150" s="6">
        <v>143463.82</v>
      </c>
      <c r="N150" s="6">
        <v>49.6</v>
      </c>
    </row>
    <row r="151" spans="1:14" x14ac:dyDescent="0.2">
      <c r="A151" s="64" t="s">
        <v>13</v>
      </c>
      <c r="B151" s="64" t="s">
        <v>288</v>
      </c>
      <c r="C151" s="64">
        <v>10</v>
      </c>
      <c r="D151" s="64">
        <v>0.5</v>
      </c>
      <c r="E151" s="6">
        <v>168205.37</v>
      </c>
      <c r="F151" s="6">
        <v>58.88</v>
      </c>
      <c r="G151" s="6">
        <v>168205.37</v>
      </c>
      <c r="H151" s="6">
        <v>57.35</v>
      </c>
      <c r="I151" s="6">
        <v>168205.37</v>
      </c>
      <c r="J151" s="6">
        <v>57.35</v>
      </c>
      <c r="K151" s="6">
        <v>168205.37</v>
      </c>
      <c r="L151" s="6">
        <v>58.2</v>
      </c>
      <c r="M151" s="6">
        <v>168205.37</v>
      </c>
      <c r="N151" s="6">
        <v>56.13</v>
      </c>
    </row>
    <row r="152" spans="1:14" x14ac:dyDescent="0.2">
      <c r="A152" s="64" t="s">
        <v>13</v>
      </c>
      <c r="B152" s="64" t="s">
        <v>288</v>
      </c>
      <c r="C152" s="64">
        <v>12</v>
      </c>
      <c r="D152" s="64">
        <v>0.5</v>
      </c>
      <c r="E152" s="6">
        <v>194437.58</v>
      </c>
      <c r="F152" s="6">
        <v>108.24</v>
      </c>
      <c r="G152" s="6">
        <v>194436.95</v>
      </c>
      <c r="H152" s="6">
        <v>101.83</v>
      </c>
      <c r="I152" s="6">
        <v>194436.95</v>
      </c>
      <c r="J152" s="6">
        <v>101.83</v>
      </c>
      <c r="K152" s="6">
        <v>194436.95</v>
      </c>
      <c r="L152" s="6">
        <v>86.46</v>
      </c>
      <c r="M152" s="6">
        <v>194436.95</v>
      </c>
      <c r="N152" s="6">
        <v>103.32</v>
      </c>
    </row>
    <row r="153" spans="1:14" x14ac:dyDescent="0.2">
      <c r="A153" s="64" t="s">
        <v>13</v>
      </c>
      <c r="B153" s="64" t="s">
        <v>288</v>
      </c>
      <c r="C153" s="64">
        <v>14</v>
      </c>
      <c r="D153" s="64">
        <v>0.5</v>
      </c>
      <c r="E153" s="6">
        <v>221203.33</v>
      </c>
      <c r="F153" s="6">
        <v>97.96</v>
      </c>
      <c r="G153" s="6">
        <v>221203.33</v>
      </c>
      <c r="H153" s="6">
        <v>117.09</v>
      </c>
      <c r="I153" s="6">
        <v>221203.33</v>
      </c>
      <c r="J153" s="6">
        <v>117.09</v>
      </c>
      <c r="K153" s="6">
        <v>221203.33</v>
      </c>
      <c r="L153" s="6">
        <v>102.49</v>
      </c>
      <c r="M153" s="6">
        <v>221203.33</v>
      </c>
      <c r="N153" s="6">
        <v>89.72</v>
      </c>
    </row>
    <row r="154" spans="1:14" x14ac:dyDescent="0.2">
      <c r="A154" s="64" t="s">
        <v>13</v>
      </c>
      <c r="B154" s="64" t="s">
        <v>288</v>
      </c>
      <c r="C154" s="64">
        <v>16</v>
      </c>
      <c r="D154" s="64">
        <v>0.5</v>
      </c>
      <c r="E154" s="6">
        <v>229905.55</v>
      </c>
      <c r="F154" s="6">
        <v>147.43</v>
      </c>
      <c r="G154" s="6">
        <v>229905.55</v>
      </c>
      <c r="H154" s="6">
        <v>114.76</v>
      </c>
      <c r="I154" s="6">
        <v>229905.55</v>
      </c>
      <c r="J154" s="6">
        <v>114.76</v>
      </c>
      <c r="K154" s="6">
        <v>229905.55</v>
      </c>
      <c r="L154" s="6">
        <v>118.72</v>
      </c>
      <c r="M154" s="6">
        <v>229905.55</v>
      </c>
      <c r="N154" s="6">
        <v>103.17</v>
      </c>
    </row>
    <row r="155" spans="1:14" x14ac:dyDescent="0.2">
      <c r="A155" s="64" t="s">
        <v>13</v>
      </c>
      <c r="B155" s="64" t="s">
        <v>288</v>
      </c>
      <c r="C155" s="64">
        <v>18</v>
      </c>
      <c r="D155" s="64">
        <v>0.5</v>
      </c>
      <c r="E155" s="6">
        <v>253822.9</v>
      </c>
      <c r="F155" s="6">
        <v>194.75</v>
      </c>
      <c r="G155" s="6">
        <v>253822.9</v>
      </c>
      <c r="H155" s="6">
        <v>218.48</v>
      </c>
      <c r="I155" s="6">
        <v>253822.9</v>
      </c>
      <c r="J155" s="6">
        <v>218.48</v>
      </c>
      <c r="K155" s="6">
        <v>253974.88</v>
      </c>
      <c r="L155" s="6">
        <v>189.88</v>
      </c>
      <c r="M155" s="6">
        <v>253822.9</v>
      </c>
      <c r="N155" s="6">
        <v>194.31</v>
      </c>
    </row>
    <row r="156" spans="1:14" x14ac:dyDescent="0.2">
      <c r="A156" s="64" t="s">
        <v>13</v>
      </c>
      <c r="B156" s="64" t="s">
        <v>288</v>
      </c>
      <c r="C156" s="64">
        <v>20</v>
      </c>
      <c r="D156" s="64">
        <v>0.5</v>
      </c>
      <c r="E156" s="6">
        <v>266958.07</v>
      </c>
      <c r="F156" s="6">
        <v>153.57</v>
      </c>
      <c r="G156" s="6">
        <v>266958.07</v>
      </c>
      <c r="H156" s="6">
        <v>165.01</v>
      </c>
      <c r="I156" s="6">
        <v>266958.07</v>
      </c>
      <c r="J156" s="6">
        <v>165.01</v>
      </c>
      <c r="K156" s="6">
        <v>266958.07</v>
      </c>
      <c r="L156" s="6">
        <v>147.59</v>
      </c>
      <c r="M156" s="6">
        <v>266958.07</v>
      </c>
      <c r="N156" s="6">
        <v>152.72</v>
      </c>
    </row>
    <row r="157" spans="1:14" x14ac:dyDescent="0.2">
      <c r="A157" s="64" t="s">
        <v>13</v>
      </c>
      <c r="B157" s="64" t="s">
        <v>288</v>
      </c>
      <c r="C157" s="64">
        <v>22</v>
      </c>
      <c r="D157" s="64">
        <v>0.5</v>
      </c>
      <c r="E157" s="6">
        <v>293701.93</v>
      </c>
      <c r="F157" s="6">
        <v>188.25</v>
      </c>
      <c r="G157" s="6">
        <v>290784.52</v>
      </c>
      <c r="H157" s="6">
        <v>161.37</v>
      </c>
      <c r="I157" s="6">
        <v>290784.52</v>
      </c>
      <c r="J157" s="6">
        <v>161.37</v>
      </c>
      <c r="K157" s="6">
        <v>293665.26</v>
      </c>
      <c r="L157" s="6">
        <v>153.61000000000001</v>
      </c>
      <c r="M157" s="6">
        <v>290784.52</v>
      </c>
      <c r="N157" s="6">
        <v>162.13999999999999</v>
      </c>
    </row>
    <row r="158" spans="1:14" x14ac:dyDescent="0.2">
      <c r="E158" s="6"/>
      <c r="F158" s="6"/>
      <c r="G158" s="6"/>
      <c r="H158" s="6"/>
      <c r="I158" s="6"/>
      <c r="J158" s="6"/>
      <c r="K158" s="6"/>
      <c r="L158" s="6"/>
      <c r="M158" s="6"/>
      <c r="N158" s="6"/>
    </row>
    <row r="159" spans="1:14" x14ac:dyDescent="0.2">
      <c r="A159" s="64" t="s">
        <v>13</v>
      </c>
      <c r="B159" s="64" t="s">
        <v>288</v>
      </c>
      <c r="C159" s="64">
        <v>4</v>
      </c>
      <c r="D159" s="64">
        <v>0.3</v>
      </c>
      <c r="E159" s="6">
        <v>126685.93</v>
      </c>
      <c r="F159" s="6">
        <v>33.72</v>
      </c>
      <c r="G159" s="6">
        <v>126685.93</v>
      </c>
      <c r="H159" s="6">
        <v>30.61</v>
      </c>
      <c r="I159" s="6">
        <v>126685.93</v>
      </c>
      <c r="J159" s="6">
        <v>30.61</v>
      </c>
      <c r="K159" s="6" t="s">
        <v>15</v>
      </c>
      <c r="L159" s="6">
        <v>20.85</v>
      </c>
      <c r="M159" s="6">
        <v>126685.93</v>
      </c>
      <c r="N159" s="6">
        <v>30.54</v>
      </c>
    </row>
    <row r="160" spans="1:14" x14ac:dyDescent="0.2">
      <c r="A160" s="64" t="s">
        <v>13</v>
      </c>
      <c r="B160" s="64" t="s">
        <v>288</v>
      </c>
      <c r="C160" s="64">
        <v>6</v>
      </c>
      <c r="D160" s="64">
        <v>0.3</v>
      </c>
      <c r="E160" s="6">
        <v>173965.4</v>
      </c>
      <c r="F160" s="6">
        <v>43.63</v>
      </c>
      <c r="G160" s="6">
        <v>173965.4</v>
      </c>
      <c r="H160" s="6">
        <v>44</v>
      </c>
      <c r="I160" s="6">
        <v>173965.4</v>
      </c>
      <c r="J160" s="6">
        <v>44</v>
      </c>
      <c r="K160" s="6">
        <v>173965.4</v>
      </c>
      <c r="L160" s="6">
        <v>47.48</v>
      </c>
      <c r="M160" s="6">
        <v>173965.4</v>
      </c>
      <c r="N160" s="6">
        <v>57.92</v>
      </c>
    </row>
    <row r="161" spans="1:14" x14ac:dyDescent="0.2">
      <c r="A161" s="64" t="s">
        <v>13</v>
      </c>
      <c r="B161" s="64" t="s">
        <v>288</v>
      </c>
      <c r="C161" s="64">
        <v>8</v>
      </c>
      <c r="D161" s="64">
        <v>0.3</v>
      </c>
      <c r="E161" s="6">
        <v>170527.08</v>
      </c>
      <c r="F161" s="6">
        <v>99.23</v>
      </c>
      <c r="G161" s="6">
        <v>170527.08</v>
      </c>
      <c r="H161" s="6">
        <v>63.87</v>
      </c>
      <c r="I161" s="6">
        <v>170527.08</v>
      </c>
      <c r="J161" s="6">
        <v>63.87</v>
      </c>
      <c r="K161" s="6">
        <v>170527.08</v>
      </c>
      <c r="L161" s="6">
        <v>83.98</v>
      </c>
      <c r="M161" s="6">
        <v>170527.08</v>
      </c>
      <c r="N161" s="6">
        <v>107.24</v>
      </c>
    </row>
    <row r="162" spans="1:14" x14ac:dyDescent="0.2">
      <c r="A162" s="64" t="s">
        <v>13</v>
      </c>
      <c r="B162" s="64" t="s">
        <v>288</v>
      </c>
      <c r="C162" s="64">
        <v>10</v>
      </c>
      <c r="D162" s="64">
        <v>0.3</v>
      </c>
      <c r="E162" s="6">
        <v>196337.91</v>
      </c>
      <c r="F162" s="6">
        <v>115.61</v>
      </c>
      <c r="G162" s="6">
        <v>196337.91</v>
      </c>
      <c r="H162" s="6">
        <v>108.67</v>
      </c>
      <c r="I162" s="6">
        <v>196337.91</v>
      </c>
      <c r="J162" s="6">
        <v>108.67</v>
      </c>
      <c r="K162" s="6">
        <v>196337.91</v>
      </c>
      <c r="L162" s="6">
        <v>102.33</v>
      </c>
      <c r="M162" s="6">
        <v>196337.91</v>
      </c>
      <c r="N162" s="6">
        <v>104.24</v>
      </c>
    </row>
    <row r="163" spans="1:14" x14ac:dyDescent="0.2">
      <c r="A163" s="64" t="s">
        <v>13</v>
      </c>
      <c r="B163" s="64" t="s">
        <v>288</v>
      </c>
      <c r="C163" s="64">
        <v>12</v>
      </c>
      <c r="D163" s="64">
        <v>0.3</v>
      </c>
      <c r="E163" s="6">
        <v>241398.31</v>
      </c>
      <c r="F163" s="6">
        <v>188.79</v>
      </c>
      <c r="G163" s="6">
        <v>241398.31</v>
      </c>
      <c r="H163" s="6">
        <v>210.66</v>
      </c>
      <c r="I163" s="6">
        <v>241398.31</v>
      </c>
      <c r="J163" s="6">
        <v>210.66</v>
      </c>
      <c r="K163" s="6">
        <v>241398.31</v>
      </c>
      <c r="L163" s="6">
        <v>154.52000000000001</v>
      </c>
      <c r="M163" s="6">
        <v>241398.31</v>
      </c>
      <c r="N163" s="6">
        <v>187.7</v>
      </c>
    </row>
    <row r="164" spans="1:14" x14ac:dyDescent="0.2">
      <c r="A164" s="64" t="s">
        <v>13</v>
      </c>
      <c r="B164" s="64" t="s">
        <v>288</v>
      </c>
      <c r="C164" s="64">
        <v>14</v>
      </c>
      <c r="D164" s="64">
        <v>0.3</v>
      </c>
      <c r="E164" s="6">
        <v>257041.99</v>
      </c>
      <c r="F164" s="6">
        <v>136.34</v>
      </c>
      <c r="G164" s="6">
        <v>257227.35</v>
      </c>
      <c r="H164" s="6">
        <v>219.14</v>
      </c>
      <c r="I164" s="6">
        <v>257227.35</v>
      </c>
      <c r="J164" s="6">
        <v>219.14</v>
      </c>
      <c r="K164" s="6">
        <v>257227.35</v>
      </c>
      <c r="L164" s="6">
        <v>141.12</v>
      </c>
      <c r="M164" s="6">
        <v>257227.35</v>
      </c>
      <c r="N164" s="6">
        <v>182.29</v>
      </c>
    </row>
    <row r="165" spans="1:14" x14ac:dyDescent="0.2">
      <c r="A165" s="64" t="s">
        <v>13</v>
      </c>
      <c r="B165" s="64" t="s">
        <v>288</v>
      </c>
      <c r="C165" s="64">
        <v>16</v>
      </c>
      <c r="D165" s="64">
        <v>0.3</v>
      </c>
      <c r="E165" s="6">
        <v>273755.05</v>
      </c>
      <c r="F165" s="6">
        <v>363.42</v>
      </c>
      <c r="G165" s="6">
        <v>273755.05</v>
      </c>
      <c r="H165" s="6">
        <v>347.38</v>
      </c>
      <c r="I165" s="6">
        <v>273755.05</v>
      </c>
      <c r="J165" s="6">
        <v>347.38</v>
      </c>
      <c r="K165" s="6">
        <v>273755.05</v>
      </c>
      <c r="L165" s="6">
        <v>305.3</v>
      </c>
      <c r="M165" s="6">
        <v>274299.99</v>
      </c>
      <c r="N165" s="6">
        <v>352.69</v>
      </c>
    </row>
    <row r="166" spans="1:14" x14ac:dyDescent="0.2">
      <c r="A166" s="64" t="s">
        <v>13</v>
      </c>
      <c r="B166" s="64" t="s">
        <v>288</v>
      </c>
      <c r="C166" s="64">
        <v>18</v>
      </c>
      <c r="D166" s="64">
        <v>0.3</v>
      </c>
      <c r="E166" s="6">
        <v>300425.37</v>
      </c>
      <c r="F166" s="6">
        <v>508.68</v>
      </c>
      <c r="G166" s="6">
        <v>304494.68</v>
      </c>
      <c r="H166" s="6">
        <v>419.58</v>
      </c>
      <c r="I166" s="6">
        <v>304494.68</v>
      </c>
      <c r="J166" s="6">
        <v>419.58</v>
      </c>
      <c r="K166" s="6">
        <v>301705.88</v>
      </c>
      <c r="L166" s="6">
        <v>461.83</v>
      </c>
      <c r="M166" s="6">
        <v>300413.2</v>
      </c>
      <c r="N166" s="6">
        <v>433.77</v>
      </c>
    </row>
    <row r="167" spans="1:14" x14ac:dyDescent="0.2">
      <c r="A167" s="64" t="s">
        <v>13</v>
      </c>
      <c r="B167" s="64" t="s">
        <v>288</v>
      </c>
      <c r="C167" s="64">
        <v>20</v>
      </c>
      <c r="D167" s="64">
        <v>0.3</v>
      </c>
      <c r="E167" s="6">
        <v>321422.84999999998</v>
      </c>
      <c r="F167" s="6">
        <v>324.16000000000003</v>
      </c>
      <c r="G167" s="6">
        <v>317012.38</v>
      </c>
      <c r="H167" s="6">
        <v>543.51</v>
      </c>
      <c r="I167" s="6">
        <v>317012.38</v>
      </c>
      <c r="J167" s="6">
        <v>543.51</v>
      </c>
      <c r="K167" s="6">
        <v>318778.88</v>
      </c>
      <c r="L167" s="6">
        <v>445.63</v>
      </c>
      <c r="M167" s="6">
        <v>320252.17</v>
      </c>
      <c r="N167" s="6">
        <v>445.42</v>
      </c>
    </row>
    <row r="168" spans="1:14" x14ac:dyDescent="0.2">
      <c r="A168" s="64" t="s">
        <v>13</v>
      </c>
      <c r="B168" s="64" t="s">
        <v>288</v>
      </c>
      <c r="C168" s="64">
        <v>22</v>
      </c>
      <c r="D168" s="64">
        <v>0.3</v>
      </c>
      <c r="E168" s="6">
        <v>345890.3</v>
      </c>
      <c r="F168" s="6">
        <v>527.63</v>
      </c>
      <c r="G168" s="6">
        <v>345417.99</v>
      </c>
      <c r="H168" s="6">
        <v>683.48</v>
      </c>
      <c r="I168" s="6">
        <v>345417.99</v>
      </c>
      <c r="J168" s="6">
        <v>683.48</v>
      </c>
      <c r="K168" s="6">
        <v>350440.38</v>
      </c>
      <c r="L168" s="6">
        <v>466.45</v>
      </c>
      <c r="M168" s="6">
        <v>345764.86</v>
      </c>
      <c r="N168" s="6">
        <v>438.78</v>
      </c>
    </row>
    <row r="169" spans="1:14" x14ac:dyDescent="0.2">
      <c r="E169" s="6"/>
      <c r="F169" s="6"/>
    </row>
    <row r="170" spans="1:14" x14ac:dyDescent="0.2">
      <c r="A170" s="14" t="s">
        <v>14</v>
      </c>
      <c r="B170" s="14" t="s">
        <v>288</v>
      </c>
      <c r="C170" s="14">
        <v>23</v>
      </c>
      <c r="D170" s="14">
        <v>1</v>
      </c>
      <c r="E170" s="6">
        <v>234355.96</v>
      </c>
      <c r="F170" s="6">
        <v>100.54</v>
      </c>
      <c r="G170" s="14">
        <v>234355.96</v>
      </c>
      <c r="H170" s="14">
        <v>99.25</v>
      </c>
      <c r="I170" s="14">
        <v>234355.96</v>
      </c>
      <c r="J170" s="14">
        <v>99.25</v>
      </c>
      <c r="K170" s="14">
        <v>234355.96</v>
      </c>
      <c r="L170" s="14">
        <v>100.96</v>
      </c>
      <c r="M170" s="14">
        <v>234355.96</v>
      </c>
      <c r="N170" s="14">
        <v>106.25</v>
      </c>
    </row>
    <row r="171" spans="1:14" x14ac:dyDescent="0.2">
      <c r="A171" s="14" t="s">
        <v>14</v>
      </c>
      <c r="B171" s="14" t="s">
        <v>288</v>
      </c>
      <c r="C171" s="14">
        <v>23</v>
      </c>
      <c r="D171" s="14">
        <v>0.5</v>
      </c>
      <c r="E171" s="6">
        <v>295184.59999999998</v>
      </c>
      <c r="F171" s="6">
        <v>138.56</v>
      </c>
      <c r="G171" s="6">
        <v>295184.59999999998</v>
      </c>
      <c r="H171" s="14">
        <v>161.63</v>
      </c>
      <c r="I171" s="6">
        <v>295184.59999999998</v>
      </c>
      <c r="J171" s="14">
        <v>161.63</v>
      </c>
      <c r="K171" s="6">
        <v>295184.59999999998</v>
      </c>
      <c r="L171" s="14">
        <v>153.01</v>
      </c>
      <c r="M171" s="14">
        <v>295147.93</v>
      </c>
      <c r="N171" s="6">
        <v>156.1</v>
      </c>
    </row>
    <row r="172" spans="1:14" x14ac:dyDescent="0.2">
      <c r="A172" s="14" t="s">
        <v>14</v>
      </c>
      <c r="B172" s="14" t="s">
        <v>288</v>
      </c>
      <c r="C172" s="14">
        <v>23</v>
      </c>
      <c r="D172" s="14">
        <v>0.3</v>
      </c>
      <c r="E172" s="6">
        <v>354199.22</v>
      </c>
      <c r="F172" s="6">
        <v>448.04</v>
      </c>
      <c r="G172" s="14">
        <v>350091.63</v>
      </c>
      <c r="H172" s="14">
        <v>576.41</v>
      </c>
      <c r="I172" s="14">
        <v>350091.63</v>
      </c>
      <c r="J172" s="14">
        <v>576.41</v>
      </c>
      <c r="K172" s="14">
        <v>352464.98</v>
      </c>
      <c r="L172" s="14">
        <v>702.12</v>
      </c>
      <c r="M172" s="14">
        <v>350081.63</v>
      </c>
      <c r="N172" s="14">
        <v>489.62</v>
      </c>
    </row>
    <row r="175" spans="1:14" x14ac:dyDescent="0.2">
      <c r="A175" s="66"/>
      <c r="B175" s="66"/>
      <c r="C175" s="66"/>
      <c r="D175" s="66"/>
      <c r="E175" s="7"/>
      <c r="F175" s="7"/>
      <c r="G175" s="66"/>
      <c r="H175" s="66"/>
      <c r="I175" s="66"/>
      <c r="J175" s="66"/>
      <c r="K175" s="66"/>
      <c r="L175" s="66"/>
      <c r="M175" s="66"/>
      <c r="N175" s="66"/>
    </row>
    <row r="176" spans="1:14" x14ac:dyDescent="0.2">
      <c r="A176" s="64" t="s">
        <v>9</v>
      </c>
      <c r="B176" s="64" t="s">
        <v>289</v>
      </c>
      <c r="C176" s="64">
        <v>4</v>
      </c>
      <c r="D176" s="64">
        <v>1</v>
      </c>
      <c r="E176" s="6">
        <v>55302.65</v>
      </c>
      <c r="F176" s="6">
        <v>17.93</v>
      </c>
      <c r="G176" s="6">
        <v>55302.65</v>
      </c>
      <c r="H176" s="6">
        <v>17.420000000000002</v>
      </c>
      <c r="I176" s="6">
        <v>55302.65</v>
      </c>
      <c r="J176" s="6">
        <v>17.420000000000002</v>
      </c>
      <c r="K176" s="6">
        <v>55302.65</v>
      </c>
      <c r="L176" s="6">
        <v>17.36</v>
      </c>
      <c r="M176" s="6">
        <v>55302.65</v>
      </c>
      <c r="N176" s="6">
        <v>17.399999999999999</v>
      </c>
    </row>
    <row r="177" spans="1:14" x14ac:dyDescent="0.2">
      <c r="A177" s="64" t="s">
        <v>9</v>
      </c>
      <c r="B177" s="64" t="s">
        <v>289</v>
      </c>
      <c r="C177" s="64">
        <v>6</v>
      </c>
      <c r="D177" s="64">
        <v>1</v>
      </c>
      <c r="E177" s="6">
        <v>85432.51</v>
      </c>
      <c r="F177" s="6">
        <v>23.57</v>
      </c>
      <c r="G177" s="6">
        <v>85432.51</v>
      </c>
      <c r="H177" s="6">
        <v>24.38</v>
      </c>
      <c r="I177" s="6">
        <v>85432.51</v>
      </c>
      <c r="J177" s="6">
        <v>24.38</v>
      </c>
      <c r="K177" s="6">
        <v>85432.51</v>
      </c>
      <c r="L177" s="6">
        <v>24.02</v>
      </c>
      <c r="M177" s="6">
        <v>85432.51</v>
      </c>
      <c r="N177" s="6">
        <v>23.26</v>
      </c>
    </row>
    <row r="178" spans="1:14" x14ac:dyDescent="0.2">
      <c r="A178" s="64" t="s">
        <v>9</v>
      </c>
      <c r="B178" s="64" t="s">
        <v>289</v>
      </c>
      <c r="C178" s="64">
        <v>8</v>
      </c>
      <c r="D178" s="64">
        <v>1</v>
      </c>
      <c r="E178" s="6">
        <v>120339.08</v>
      </c>
      <c r="F178" s="6">
        <v>35.07</v>
      </c>
      <c r="G178" s="6">
        <v>120339.08</v>
      </c>
      <c r="H178" s="6">
        <v>37.630000000000003</v>
      </c>
      <c r="I178" s="6">
        <v>120339.08</v>
      </c>
      <c r="J178" s="6">
        <v>37.630000000000003</v>
      </c>
      <c r="K178" s="6">
        <v>120339.08</v>
      </c>
      <c r="L178" s="6">
        <v>36.729999999999997</v>
      </c>
      <c r="M178" s="6">
        <v>120339.08</v>
      </c>
      <c r="N178" s="6">
        <v>33.86</v>
      </c>
    </row>
    <row r="179" spans="1:14" x14ac:dyDescent="0.2">
      <c r="A179" s="64" t="s">
        <v>9</v>
      </c>
      <c r="B179" s="64" t="s">
        <v>289</v>
      </c>
      <c r="C179" s="64">
        <v>10</v>
      </c>
      <c r="D179" s="64">
        <v>1</v>
      </c>
      <c r="E179" s="6">
        <v>133149.32</v>
      </c>
      <c r="F179" s="6">
        <v>33.35</v>
      </c>
      <c r="G179" s="6">
        <v>133149.32</v>
      </c>
      <c r="H179" s="6">
        <v>41.38</v>
      </c>
      <c r="I179" s="6">
        <v>133149.32</v>
      </c>
      <c r="J179" s="6">
        <v>41.38</v>
      </c>
      <c r="K179" s="6">
        <v>133149.32</v>
      </c>
      <c r="L179" s="6">
        <v>33.65</v>
      </c>
      <c r="M179" s="6">
        <v>133149.32</v>
      </c>
      <c r="N179" s="6">
        <v>34.56</v>
      </c>
    </row>
    <row r="180" spans="1:14" x14ac:dyDescent="0.2">
      <c r="A180" s="64" t="s">
        <v>9</v>
      </c>
      <c r="B180" s="64" t="s">
        <v>289</v>
      </c>
      <c r="C180" s="64">
        <v>12</v>
      </c>
      <c r="D180" s="64">
        <v>1</v>
      </c>
      <c r="E180" s="6">
        <v>162624.14000000001</v>
      </c>
      <c r="F180" s="6">
        <v>52.2</v>
      </c>
      <c r="G180" s="6">
        <v>162624.14000000001</v>
      </c>
      <c r="H180" s="6">
        <v>51.88</v>
      </c>
      <c r="I180" s="6">
        <v>162624.14000000001</v>
      </c>
      <c r="J180" s="6">
        <v>51.88</v>
      </c>
      <c r="K180" s="6">
        <v>162624.14000000001</v>
      </c>
      <c r="L180" s="6">
        <v>51.2</v>
      </c>
      <c r="M180" s="6">
        <v>162624.14000000001</v>
      </c>
      <c r="N180" s="6">
        <v>49.79</v>
      </c>
    </row>
    <row r="181" spans="1:14" x14ac:dyDescent="0.2">
      <c r="A181" s="64" t="s">
        <v>9</v>
      </c>
      <c r="B181" s="64" t="s">
        <v>289</v>
      </c>
      <c r="C181" s="64">
        <v>14</v>
      </c>
      <c r="D181" s="64">
        <v>1</v>
      </c>
      <c r="E181" s="6">
        <v>172181.53</v>
      </c>
      <c r="F181" s="6">
        <v>55.61</v>
      </c>
      <c r="G181" s="6">
        <v>172181.53</v>
      </c>
      <c r="H181" s="6">
        <v>56.08</v>
      </c>
      <c r="I181" s="6">
        <v>172181.53</v>
      </c>
      <c r="J181" s="6">
        <v>56.08</v>
      </c>
      <c r="K181" s="6">
        <v>172181.53</v>
      </c>
      <c r="L181" s="6">
        <v>59.25</v>
      </c>
      <c r="M181" s="6">
        <v>172181.53</v>
      </c>
      <c r="N181" s="6">
        <v>54.92</v>
      </c>
    </row>
    <row r="182" spans="1:14" x14ac:dyDescent="0.2">
      <c r="A182" s="64" t="s">
        <v>9</v>
      </c>
      <c r="B182" s="64" t="s">
        <v>289</v>
      </c>
      <c r="C182" s="64">
        <v>16</v>
      </c>
      <c r="D182" s="64">
        <v>1</v>
      </c>
      <c r="E182" s="6">
        <v>209957.74</v>
      </c>
      <c r="F182" s="6">
        <v>67.66</v>
      </c>
      <c r="G182" s="6">
        <v>209957.74</v>
      </c>
      <c r="H182" s="6">
        <v>72.040000000000006</v>
      </c>
      <c r="I182" s="6">
        <v>209957.74</v>
      </c>
      <c r="J182" s="6">
        <v>72.040000000000006</v>
      </c>
      <c r="K182" s="6">
        <v>209957.74</v>
      </c>
      <c r="L182" s="6">
        <v>70.58</v>
      </c>
      <c r="M182" s="6">
        <v>209957.74</v>
      </c>
      <c r="N182" s="6">
        <v>70.94</v>
      </c>
    </row>
    <row r="183" spans="1:14" x14ac:dyDescent="0.2">
      <c r="A183" s="64" t="s">
        <v>9</v>
      </c>
      <c r="B183" s="64" t="s">
        <v>289</v>
      </c>
      <c r="C183" s="64">
        <v>18</v>
      </c>
      <c r="D183" s="64">
        <v>1</v>
      </c>
      <c r="E183" s="6">
        <v>244453.83</v>
      </c>
      <c r="F183" s="6">
        <v>73.56</v>
      </c>
      <c r="G183" s="6">
        <v>244251.13</v>
      </c>
      <c r="H183" s="6">
        <v>86.49</v>
      </c>
      <c r="I183" s="6">
        <v>244251.13</v>
      </c>
      <c r="J183" s="6">
        <v>86.49</v>
      </c>
      <c r="K183" s="6">
        <v>244328.68</v>
      </c>
      <c r="L183" s="6">
        <v>90.88</v>
      </c>
      <c r="M183" s="6">
        <v>244376.29</v>
      </c>
      <c r="N183" s="6">
        <v>83.14</v>
      </c>
    </row>
    <row r="184" spans="1:14" x14ac:dyDescent="0.2">
      <c r="A184" s="64" t="s">
        <v>9</v>
      </c>
      <c r="B184" s="64" t="s">
        <v>289</v>
      </c>
      <c r="C184" s="64">
        <v>20</v>
      </c>
      <c r="D184" s="64">
        <v>1</v>
      </c>
      <c r="E184" s="6">
        <v>260328.26</v>
      </c>
      <c r="F184" s="6">
        <v>114.27</v>
      </c>
      <c r="G184" s="6">
        <v>260239.13</v>
      </c>
      <c r="H184" s="6">
        <v>111.36</v>
      </c>
      <c r="I184" s="6">
        <v>260239.13</v>
      </c>
      <c r="J184" s="6">
        <v>111.36</v>
      </c>
      <c r="K184" s="6">
        <v>260239.13</v>
      </c>
      <c r="L184" s="6">
        <v>118.14</v>
      </c>
      <c r="M184" s="6">
        <v>260239.13</v>
      </c>
      <c r="N184" s="6">
        <v>123.7</v>
      </c>
    </row>
    <row r="185" spans="1:14" x14ac:dyDescent="0.2">
      <c r="A185" s="64" t="s">
        <v>9</v>
      </c>
      <c r="B185" s="64" t="s">
        <v>289</v>
      </c>
      <c r="C185" s="64">
        <v>22</v>
      </c>
      <c r="D185" s="64">
        <v>1</v>
      </c>
      <c r="E185" s="6">
        <v>282680.24</v>
      </c>
      <c r="F185" s="6">
        <v>130.29</v>
      </c>
      <c r="G185" s="6">
        <v>282606.17</v>
      </c>
      <c r="H185" s="6">
        <v>141.66</v>
      </c>
      <c r="I185" s="6">
        <v>282606.17</v>
      </c>
      <c r="J185" s="6">
        <v>141.66</v>
      </c>
      <c r="K185" s="6">
        <v>282476.52</v>
      </c>
      <c r="L185" s="6">
        <v>162.18</v>
      </c>
      <c r="M185" s="6">
        <v>282476.52</v>
      </c>
      <c r="N185" s="6">
        <v>142.88999999999999</v>
      </c>
    </row>
    <row r="186" spans="1:14" x14ac:dyDescent="0.2">
      <c r="A186" s="64"/>
      <c r="B186" s="64"/>
      <c r="C186" s="64"/>
      <c r="D186" s="64"/>
      <c r="E186" s="6"/>
      <c r="F186" s="6"/>
      <c r="G186" s="6"/>
      <c r="H186" s="68"/>
      <c r="I186" s="6"/>
      <c r="J186" s="68"/>
      <c r="K186" s="6"/>
      <c r="L186" s="6"/>
      <c r="M186" s="6"/>
      <c r="N186" s="6"/>
    </row>
    <row r="187" spans="1:14" x14ac:dyDescent="0.2">
      <c r="A187" s="64" t="s">
        <v>9</v>
      </c>
      <c r="B187" s="64" t="s">
        <v>289</v>
      </c>
      <c r="C187" s="64">
        <v>4</v>
      </c>
      <c r="D187" s="64">
        <v>0.5</v>
      </c>
      <c r="E187" s="6">
        <v>67976.17</v>
      </c>
      <c r="F187" s="6">
        <v>18.2</v>
      </c>
      <c r="G187" s="6">
        <v>67976.17</v>
      </c>
      <c r="H187" s="6">
        <v>17.41</v>
      </c>
      <c r="I187" s="6">
        <v>67976.17</v>
      </c>
      <c r="J187" s="6">
        <v>17.41</v>
      </c>
      <c r="K187" s="6">
        <v>67976.17</v>
      </c>
      <c r="L187" s="6">
        <v>17.39</v>
      </c>
      <c r="M187" s="6">
        <v>67976.17</v>
      </c>
      <c r="N187" s="6">
        <v>17.47</v>
      </c>
    </row>
    <row r="188" spans="1:14" x14ac:dyDescent="0.2">
      <c r="A188" s="64" t="s">
        <v>9</v>
      </c>
      <c r="B188" s="64" t="s">
        <v>289</v>
      </c>
      <c r="C188" s="64">
        <v>6</v>
      </c>
      <c r="D188" s="64">
        <v>0.5</v>
      </c>
      <c r="E188" s="6">
        <v>105663.87</v>
      </c>
      <c r="F188" s="6">
        <v>26.28</v>
      </c>
      <c r="G188" s="6">
        <v>105663.87</v>
      </c>
      <c r="H188" s="6">
        <v>26.63</v>
      </c>
      <c r="I188" s="6">
        <v>105663.87</v>
      </c>
      <c r="J188" s="6">
        <v>26.63</v>
      </c>
      <c r="K188" s="6">
        <v>105663.87</v>
      </c>
      <c r="L188" s="6">
        <v>25.12</v>
      </c>
      <c r="M188" s="6">
        <v>105663.87</v>
      </c>
      <c r="N188" s="6">
        <v>27.7</v>
      </c>
    </row>
    <row r="189" spans="1:14" x14ac:dyDescent="0.2">
      <c r="A189" s="64" t="s">
        <v>9</v>
      </c>
      <c r="B189" s="64" t="s">
        <v>289</v>
      </c>
      <c r="C189" s="64">
        <v>8</v>
      </c>
      <c r="D189" s="64">
        <v>0.5</v>
      </c>
      <c r="E189" s="6">
        <v>152395.73000000001</v>
      </c>
      <c r="F189" s="6">
        <v>47.2</v>
      </c>
      <c r="G189" s="6">
        <v>152395.73000000001</v>
      </c>
      <c r="H189" s="6">
        <v>43.84</v>
      </c>
      <c r="I189" s="6">
        <v>152395.73000000001</v>
      </c>
      <c r="J189" s="6">
        <v>43.84</v>
      </c>
      <c r="K189" s="6">
        <v>152395.73000000001</v>
      </c>
      <c r="L189" s="6">
        <v>38.909999999999997</v>
      </c>
      <c r="M189" s="6">
        <v>152395.73000000001</v>
      </c>
      <c r="N189" s="6">
        <v>42.49</v>
      </c>
    </row>
    <row r="190" spans="1:14" x14ac:dyDescent="0.2">
      <c r="A190" s="64" t="s">
        <v>9</v>
      </c>
      <c r="B190" s="64" t="s">
        <v>289</v>
      </c>
      <c r="C190" s="64">
        <v>10</v>
      </c>
      <c r="D190" s="64">
        <v>0.5</v>
      </c>
      <c r="E190" s="6">
        <v>177061.32</v>
      </c>
      <c r="F190" s="6">
        <v>73.430000000000007</v>
      </c>
      <c r="G190" s="6">
        <v>179321.99</v>
      </c>
      <c r="H190" s="6">
        <v>75.260000000000005</v>
      </c>
      <c r="I190" s="6">
        <v>179321.99</v>
      </c>
      <c r="J190" s="6">
        <v>75.260000000000005</v>
      </c>
      <c r="K190" s="6">
        <v>177061.32</v>
      </c>
      <c r="L190" s="6">
        <v>111.49</v>
      </c>
      <c r="M190" s="6">
        <v>177061.32</v>
      </c>
      <c r="N190" s="6">
        <v>92.86</v>
      </c>
    </row>
    <row r="191" spans="1:14" x14ac:dyDescent="0.2">
      <c r="A191" s="64" t="s">
        <v>9</v>
      </c>
      <c r="B191" s="64" t="s">
        <v>289</v>
      </c>
      <c r="C191" s="64">
        <v>12</v>
      </c>
      <c r="D191" s="64">
        <v>0.5</v>
      </c>
      <c r="E191" s="6">
        <v>210478.84</v>
      </c>
      <c r="F191" s="6">
        <v>153.99</v>
      </c>
      <c r="G191" s="6">
        <v>210478.84</v>
      </c>
      <c r="H191" s="6">
        <v>236.81</v>
      </c>
      <c r="I191" s="6">
        <v>210478.84</v>
      </c>
      <c r="J191" s="6">
        <v>236.81</v>
      </c>
      <c r="K191" s="6">
        <v>210478.84</v>
      </c>
      <c r="L191" s="6">
        <v>195.18</v>
      </c>
      <c r="M191" s="6">
        <v>210478.84</v>
      </c>
      <c r="N191" s="6">
        <v>232.59</v>
      </c>
    </row>
    <row r="192" spans="1:14" x14ac:dyDescent="0.2">
      <c r="A192" s="64" t="s">
        <v>9</v>
      </c>
      <c r="B192" s="64" t="s">
        <v>289</v>
      </c>
      <c r="C192" s="64">
        <v>14</v>
      </c>
      <c r="D192" s="64">
        <v>0.5</v>
      </c>
      <c r="E192" s="6">
        <v>228714.67</v>
      </c>
      <c r="F192" s="6">
        <v>138.29</v>
      </c>
      <c r="G192" s="6">
        <v>228714.67</v>
      </c>
      <c r="H192" s="6">
        <v>232.17</v>
      </c>
      <c r="I192" s="6">
        <v>228714.67</v>
      </c>
      <c r="J192" s="6">
        <v>232.17</v>
      </c>
      <c r="K192" s="6">
        <v>228714.67</v>
      </c>
      <c r="L192" s="6">
        <v>161.75</v>
      </c>
      <c r="M192" s="6">
        <v>228714.67</v>
      </c>
      <c r="N192" s="6">
        <v>323.79000000000002</v>
      </c>
    </row>
    <row r="193" spans="1:14" x14ac:dyDescent="0.2">
      <c r="A193" s="64" t="s">
        <v>9</v>
      </c>
      <c r="B193" s="64" t="s">
        <v>289</v>
      </c>
      <c r="C193" s="64">
        <v>16</v>
      </c>
      <c r="D193" s="64">
        <v>0.5</v>
      </c>
      <c r="E193" s="6">
        <v>276569.74</v>
      </c>
      <c r="F193" s="6">
        <v>266.22000000000003</v>
      </c>
      <c r="G193" s="6">
        <v>276569.74</v>
      </c>
      <c r="H193" s="6">
        <v>365.94</v>
      </c>
      <c r="I193" s="6">
        <v>276569.74</v>
      </c>
      <c r="J193" s="6">
        <v>365.94</v>
      </c>
      <c r="K193" s="6">
        <v>276608.45</v>
      </c>
      <c r="L193" s="6">
        <v>334.51</v>
      </c>
      <c r="M193" s="6">
        <v>276608.45</v>
      </c>
      <c r="N193" s="6">
        <v>377.38</v>
      </c>
    </row>
    <row r="194" spans="1:14" x14ac:dyDescent="0.2">
      <c r="A194" s="64" t="s">
        <v>9</v>
      </c>
      <c r="B194" s="64" t="s">
        <v>289</v>
      </c>
      <c r="C194" s="64">
        <v>18</v>
      </c>
      <c r="D194" s="64">
        <v>0.5</v>
      </c>
      <c r="E194" s="6">
        <v>328032.15000000002</v>
      </c>
      <c r="F194" s="6">
        <v>220.56</v>
      </c>
      <c r="G194" s="6">
        <v>324738.32</v>
      </c>
      <c r="H194" s="6">
        <v>309.82</v>
      </c>
      <c r="I194" s="6">
        <v>324738.32</v>
      </c>
      <c r="J194" s="6">
        <v>309.82</v>
      </c>
      <c r="K194" s="6">
        <v>326134.89</v>
      </c>
      <c r="L194" s="6">
        <v>240.59</v>
      </c>
      <c r="M194" s="6">
        <v>328032.15000000002</v>
      </c>
      <c r="N194" s="6">
        <v>291.39</v>
      </c>
    </row>
    <row r="195" spans="1:14" x14ac:dyDescent="0.2">
      <c r="A195" s="64" t="s">
        <v>9</v>
      </c>
      <c r="B195" s="64" t="s">
        <v>289</v>
      </c>
      <c r="C195" s="64">
        <v>20</v>
      </c>
      <c r="D195" s="64">
        <v>0.5</v>
      </c>
      <c r="E195" s="6">
        <v>345454.76</v>
      </c>
      <c r="F195" s="6">
        <v>333.71</v>
      </c>
      <c r="G195" s="6">
        <v>343472.97</v>
      </c>
      <c r="H195" s="6">
        <v>559.08000000000004</v>
      </c>
      <c r="I195" s="6">
        <v>343472.97</v>
      </c>
      <c r="J195" s="6">
        <v>559.08000000000004</v>
      </c>
      <c r="K195" s="6">
        <v>345039.48</v>
      </c>
      <c r="L195" s="6">
        <v>365.97</v>
      </c>
      <c r="M195" s="6">
        <v>342589.5</v>
      </c>
      <c r="N195" s="6">
        <v>438.42</v>
      </c>
    </row>
    <row r="196" spans="1:14" x14ac:dyDescent="0.2">
      <c r="A196" s="64" t="s">
        <v>9</v>
      </c>
      <c r="B196" s="64" t="s">
        <v>289</v>
      </c>
      <c r="C196" s="64">
        <v>22</v>
      </c>
      <c r="D196" s="64">
        <v>0.5</v>
      </c>
      <c r="E196" s="6">
        <v>367168.2</v>
      </c>
      <c r="F196" s="6">
        <v>225.68</v>
      </c>
      <c r="G196" s="6">
        <v>368149.29</v>
      </c>
      <c r="H196" s="6">
        <v>359.14</v>
      </c>
      <c r="I196" s="6">
        <v>368149.29</v>
      </c>
      <c r="J196" s="6">
        <v>359.14</v>
      </c>
      <c r="K196" s="6">
        <v>367168.2</v>
      </c>
      <c r="L196" s="6">
        <v>307.44</v>
      </c>
      <c r="M196" s="6">
        <v>368098.3</v>
      </c>
      <c r="N196" s="6">
        <v>411.17</v>
      </c>
    </row>
    <row r="197" spans="1:14" x14ac:dyDescent="0.2">
      <c r="E197" s="6"/>
      <c r="F197" s="6"/>
      <c r="G197" s="6"/>
      <c r="H197" s="6"/>
      <c r="I197" s="6"/>
      <c r="J197" s="6"/>
      <c r="K197" s="6"/>
      <c r="L197" s="6"/>
      <c r="M197" s="6"/>
      <c r="N197" s="6"/>
    </row>
    <row r="198" spans="1:14" x14ac:dyDescent="0.2">
      <c r="A198" s="64" t="s">
        <v>9</v>
      </c>
      <c r="B198" s="64" t="s">
        <v>289</v>
      </c>
      <c r="C198" s="64">
        <v>4</v>
      </c>
      <c r="D198" s="64">
        <v>0.3</v>
      </c>
      <c r="E198" s="6">
        <v>75890.5</v>
      </c>
      <c r="F198" s="6">
        <v>18.309999999999999</v>
      </c>
      <c r="G198" s="6">
        <v>75890.5</v>
      </c>
      <c r="H198" s="6">
        <v>17.18</v>
      </c>
      <c r="I198" s="6">
        <v>75890.5</v>
      </c>
      <c r="J198" s="6">
        <v>17.18</v>
      </c>
      <c r="K198" s="6">
        <v>75890.5</v>
      </c>
      <c r="L198" s="6">
        <v>17.079999999999998</v>
      </c>
      <c r="M198" s="6">
        <v>75890.5</v>
      </c>
      <c r="N198" s="6">
        <v>19.760000000000002</v>
      </c>
    </row>
    <row r="199" spans="1:14" x14ac:dyDescent="0.2">
      <c r="A199" s="64" t="s">
        <v>9</v>
      </c>
      <c r="B199" s="64" t="s">
        <v>289</v>
      </c>
      <c r="C199" s="64">
        <v>6</v>
      </c>
      <c r="D199" s="64">
        <v>0.3</v>
      </c>
      <c r="E199" s="6">
        <v>134394.45000000001</v>
      </c>
      <c r="F199" s="6">
        <v>42.47</v>
      </c>
      <c r="G199" s="6">
        <v>134533.29</v>
      </c>
      <c r="H199" s="6">
        <v>45.56</v>
      </c>
      <c r="I199" s="6">
        <v>134533.29</v>
      </c>
      <c r="J199" s="6">
        <v>45.56</v>
      </c>
      <c r="K199" s="6">
        <v>134533.29</v>
      </c>
      <c r="L199" s="6">
        <v>48.6</v>
      </c>
      <c r="M199" s="6">
        <v>134394.45000000001</v>
      </c>
      <c r="N199" s="6">
        <v>45.72</v>
      </c>
    </row>
    <row r="200" spans="1:14" x14ac:dyDescent="0.2">
      <c r="A200" s="64" t="s">
        <v>9</v>
      </c>
      <c r="B200" s="64" t="s">
        <v>289</v>
      </c>
      <c r="C200" s="64">
        <v>8</v>
      </c>
      <c r="D200" s="64">
        <v>0.3</v>
      </c>
      <c r="E200" s="6">
        <v>197098.52</v>
      </c>
      <c r="F200" s="6">
        <v>78.33</v>
      </c>
      <c r="G200" s="6">
        <v>197739.65</v>
      </c>
      <c r="H200" s="6">
        <v>86.03</v>
      </c>
      <c r="I200" s="6">
        <v>197739.65</v>
      </c>
      <c r="J200" s="6">
        <v>86.03</v>
      </c>
      <c r="K200" s="6">
        <v>196964.43</v>
      </c>
      <c r="L200" s="6">
        <v>101.05</v>
      </c>
      <c r="M200" s="6">
        <v>196964.43</v>
      </c>
      <c r="N200" s="6">
        <v>120.25</v>
      </c>
    </row>
    <row r="201" spans="1:14" x14ac:dyDescent="0.2">
      <c r="A201" s="64" t="s">
        <v>9</v>
      </c>
      <c r="B201" s="64" t="s">
        <v>289</v>
      </c>
      <c r="C201" s="64">
        <v>10</v>
      </c>
      <c r="D201" s="64">
        <v>0.3</v>
      </c>
      <c r="E201" s="6">
        <v>242804.26</v>
      </c>
      <c r="F201" s="6">
        <v>109.16</v>
      </c>
      <c r="G201" s="6">
        <v>242804.26</v>
      </c>
      <c r="H201" s="6">
        <v>159.38</v>
      </c>
      <c r="I201" s="6">
        <v>242804.26</v>
      </c>
      <c r="J201" s="6">
        <v>159.38</v>
      </c>
      <c r="K201" s="6">
        <v>242804.26</v>
      </c>
      <c r="L201" s="6">
        <v>137.94999999999999</v>
      </c>
      <c r="M201" s="6">
        <v>242804.26</v>
      </c>
      <c r="N201" s="6">
        <v>156.4</v>
      </c>
    </row>
    <row r="202" spans="1:14" x14ac:dyDescent="0.2">
      <c r="A202" s="64" t="s">
        <v>9</v>
      </c>
      <c r="B202" s="64" t="s">
        <v>289</v>
      </c>
      <c r="C202" s="64">
        <v>12</v>
      </c>
      <c r="D202" s="64">
        <v>0.3</v>
      </c>
      <c r="E202" s="6">
        <v>276946.07</v>
      </c>
      <c r="F202" s="6">
        <v>336.03</v>
      </c>
      <c r="G202" s="6">
        <v>277105.07</v>
      </c>
      <c r="H202" s="6">
        <v>530.83000000000004</v>
      </c>
      <c r="I202" s="6">
        <v>277105.07</v>
      </c>
      <c r="J202" s="6">
        <v>530.83000000000004</v>
      </c>
      <c r="K202" s="6">
        <v>277105.07</v>
      </c>
      <c r="L202" s="6">
        <v>376.51</v>
      </c>
      <c r="M202" s="6">
        <v>276946.07</v>
      </c>
      <c r="N202" s="6">
        <v>275.11</v>
      </c>
    </row>
    <row r="203" spans="1:14" x14ac:dyDescent="0.2">
      <c r="A203" s="64" t="s">
        <v>9</v>
      </c>
      <c r="B203" s="64" t="s">
        <v>289</v>
      </c>
      <c r="C203" s="64">
        <v>14</v>
      </c>
      <c r="D203" s="64">
        <v>0.3</v>
      </c>
      <c r="E203" s="6">
        <v>325741.42</v>
      </c>
      <c r="F203" s="6">
        <v>379.85</v>
      </c>
      <c r="G203" s="6">
        <v>325582.40999999997</v>
      </c>
      <c r="H203" s="6">
        <v>686.5</v>
      </c>
      <c r="I203" s="6">
        <v>325582.40999999997</v>
      </c>
      <c r="J203" s="6">
        <v>686.5</v>
      </c>
      <c r="K203" s="6">
        <v>327739.75</v>
      </c>
      <c r="L203" s="6">
        <v>403.31</v>
      </c>
      <c r="M203" s="6">
        <v>325582.40999999997</v>
      </c>
      <c r="N203" s="6">
        <v>748.46</v>
      </c>
    </row>
    <row r="204" spans="1:14" x14ac:dyDescent="0.2">
      <c r="A204" s="64" t="s">
        <v>9</v>
      </c>
      <c r="B204" s="64" t="s">
        <v>289</v>
      </c>
      <c r="C204" s="64">
        <v>16</v>
      </c>
      <c r="D204" s="64">
        <v>0.3</v>
      </c>
      <c r="E204" s="6">
        <v>388875.95</v>
      </c>
      <c r="F204" s="6">
        <v>561.54</v>
      </c>
      <c r="G204" s="6">
        <v>381644.72</v>
      </c>
      <c r="H204" s="6">
        <v>1087.67</v>
      </c>
      <c r="I204" s="6">
        <v>381644.72</v>
      </c>
      <c r="J204" s="6">
        <v>1087.67</v>
      </c>
      <c r="K204" s="6">
        <v>383625.32</v>
      </c>
      <c r="L204" s="6">
        <v>880.27</v>
      </c>
      <c r="M204" s="6">
        <v>383428.93</v>
      </c>
      <c r="N204" s="6">
        <v>1061.75</v>
      </c>
    </row>
    <row r="205" spans="1:14" x14ac:dyDescent="0.2">
      <c r="A205" s="64" t="s">
        <v>9</v>
      </c>
      <c r="B205" s="64" t="s">
        <v>289</v>
      </c>
      <c r="C205" s="64">
        <v>18</v>
      </c>
      <c r="D205" s="64">
        <v>0.3</v>
      </c>
      <c r="E205" s="6">
        <v>412092.77</v>
      </c>
      <c r="F205" s="6">
        <v>935.66</v>
      </c>
      <c r="G205" s="6">
        <v>411718.11</v>
      </c>
      <c r="H205" s="6">
        <v>1425.68</v>
      </c>
      <c r="I205" s="6">
        <v>411718.11</v>
      </c>
      <c r="J205" s="6">
        <v>1425.68</v>
      </c>
      <c r="K205" s="6">
        <v>412033.33</v>
      </c>
      <c r="L205" s="6">
        <v>1339.18</v>
      </c>
      <c r="M205" s="6">
        <v>412252.89</v>
      </c>
      <c r="N205" s="6">
        <v>1777.55</v>
      </c>
    </row>
    <row r="206" spans="1:14" x14ac:dyDescent="0.2">
      <c r="A206" s="64" t="s">
        <v>9</v>
      </c>
      <c r="B206" s="64" t="s">
        <v>289</v>
      </c>
      <c r="C206" s="64">
        <v>20</v>
      </c>
      <c r="D206" s="64">
        <v>0.3</v>
      </c>
      <c r="E206" s="6">
        <v>442951.44</v>
      </c>
      <c r="F206" s="6">
        <v>1011.41</v>
      </c>
      <c r="G206" s="6">
        <v>442509.08</v>
      </c>
      <c r="H206" s="6">
        <v>1902.36</v>
      </c>
      <c r="I206" s="6">
        <v>442509.08</v>
      </c>
      <c r="J206" s="6">
        <v>1902.36</v>
      </c>
      <c r="K206" s="6">
        <v>441119.23</v>
      </c>
      <c r="L206" s="6">
        <v>2217.2600000000002</v>
      </c>
      <c r="M206" s="6">
        <v>441119.23</v>
      </c>
      <c r="N206" s="6">
        <v>1360.54</v>
      </c>
    </row>
    <row r="207" spans="1:14" x14ac:dyDescent="0.2">
      <c r="A207" s="64" t="s">
        <v>9</v>
      </c>
      <c r="B207" s="64" t="s">
        <v>289</v>
      </c>
      <c r="C207" s="64">
        <v>22</v>
      </c>
      <c r="D207" s="64">
        <v>0.3</v>
      </c>
      <c r="E207" s="6">
        <v>467766.14</v>
      </c>
      <c r="F207" s="6">
        <v>1811.7</v>
      </c>
      <c r="G207" s="6">
        <v>466797.32</v>
      </c>
      <c r="H207" s="6">
        <v>1911.66</v>
      </c>
      <c r="I207" s="6">
        <v>466797.32</v>
      </c>
      <c r="J207" s="6">
        <v>1911.66</v>
      </c>
      <c r="K207" s="6">
        <v>470603.06</v>
      </c>
      <c r="L207" s="6">
        <v>1412.48</v>
      </c>
      <c r="M207" s="6">
        <v>465453.46</v>
      </c>
      <c r="N207" s="6">
        <v>1223.45</v>
      </c>
    </row>
    <row r="208" spans="1:14" x14ac:dyDescent="0.2">
      <c r="A208" s="66"/>
      <c r="B208" s="66"/>
      <c r="C208" s="66"/>
      <c r="D208" s="66"/>
      <c r="E208" s="5"/>
      <c r="F208" s="5"/>
      <c r="G208" s="67"/>
      <c r="H208" s="67"/>
      <c r="I208" s="67"/>
      <c r="J208" s="67"/>
      <c r="K208" s="66"/>
      <c r="L208" s="66"/>
      <c r="M208" s="67"/>
      <c r="N208" s="67"/>
    </row>
    <row r="209" spans="1:14" x14ac:dyDescent="0.2">
      <c r="A209" s="64" t="s">
        <v>10</v>
      </c>
      <c r="B209" s="64" t="s">
        <v>289</v>
      </c>
      <c r="C209" s="64">
        <v>4</v>
      </c>
      <c r="D209" s="64">
        <v>1</v>
      </c>
      <c r="E209" s="6">
        <v>49863.49</v>
      </c>
      <c r="F209" s="6">
        <v>14.48</v>
      </c>
      <c r="G209" s="6">
        <v>49863.49</v>
      </c>
      <c r="H209" s="6">
        <v>14.61</v>
      </c>
      <c r="I209" s="6">
        <v>49863.49</v>
      </c>
      <c r="J209" s="6">
        <v>14.61</v>
      </c>
      <c r="K209" s="6">
        <v>49863.49</v>
      </c>
      <c r="L209" s="6">
        <v>14.54</v>
      </c>
      <c r="M209" s="6">
        <v>49863.49</v>
      </c>
      <c r="N209" s="6">
        <v>14.74</v>
      </c>
    </row>
    <row r="210" spans="1:14" x14ac:dyDescent="0.2">
      <c r="A210" s="64" t="s">
        <v>10</v>
      </c>
      <c r="B210" s="64" t="s">
        <v>289</v>
      </c>
      <c r="C210" s="64">
        <v>6</v>
      </c>
      <c r="D210" s="64">
        <v>1</v>
      </c>
      <c r="E210" s="6">
        <v>90444.76</v>
      </c>
      <c r="F210" s="6">
        <v>20.55</v>
      </c>
      <c r="G210" s="6">
        <v>90444.76</v>
      </c>
      <c r="H210" s="6">
        <v>22.48</v>
      </c>
      <c r="I210" s="6">
        <v>90444.76</v>
      </c>
      <c r="J210" s="6">
        <v>22.48</v>
      </c>
      <c r="K210" s="6">
        <v>90444.76</v>
      </c>
      <c r="L210" s="6">
        <v>20.63</v>
      </c>
      <c r="M210" s="6">
        <v>90444.76</v>
      </c>
      <c r="N210" s="6">
        <v>20.67</v>
      </c>
    </row>
    <row r="211" spans="1:14" x14ac:dyDescent="0.2">
      <c r="A211" s="64" t="s">
        <v>10</v>
      </c>
      <c r="B211" s="64" t="s">
        <v>289</v>
      </c>
      <c r="C211" s="64">
        <v>8</v>
      </c>
      <c r="D211" s="64">
        <v>1</v>
      </c>
      <c r="E211" s="6">
        <v>114451.81</v>
      </c>
      <c r="F211" s="6">
        <v>25.75</v>
      </c>
      <c r="G211" s="6">
        <v>114451.81</v>
      </c>
      <c r="H211" s="6">
        <v>28.06</v>
      </c>
      <c r="I211" s="6">
        <v>114451.81</v>
      </c>
      <c r="J211" s="6">
        <v>28.06</v>
      </c>
      <c r="K211" s="6">
        <v>114451.81</v>
      </c>
      <c r="L211" s="6">
        <v>28.29</v>
      </c>
      <c r="M211" s="6">
        <v>114451.81</v>
      </c>
      <c r="N211" s="6">
        <v>28.51</v>
      </c>
    </row>
    <row r="212" spans="1:14" x14ac:dyDescent="0.2">
      <c r="A212" s="64" t="s">
        <v>10</v>
      </c>
      <c r="B212" s="64" t="s">
        <v>289</v>
      </c>
      <c r="C212" s="64">
        <v>10</v>
      </c>
      <c r="D212" s="64">
        <v>1</v>
      </c>
      <c r="E212" s="6">
        <v>142520.56</v>
      </c>
      <c r="F212" s="6">
        <v>34.75</v>
      </c>
      <c r="G212" s="6">
        <v>142520.56</v>
      </c>
      <c r="H212" s="6">
        <v>34.94</v>
      </c>
      <c r="I212" s="6">
        <v>142520.56</v>
      </c>
      <c r="J212" s="6">
        <v>34.94</v>
      </c>
      <c r="K212" s="6">
        <v>142520.56</v>
      </c>
      <c r="L212" s="6">
        <v>35.270000000000003</v>
      </c>
      <c r="M212" s="6">
        <v>142520.56</v>
      </c>
      <c r="N212" s="6">
        <v>35.36</v>
      </c>
    </row>
    <row r="213" spans="1:14" x14ac:dyDescent="0.2">
      <c r="A213" s="64" t="s">
        <v>10</v>
      </c>
      <c r="B213" s="64" t="s">
        <v>289</v>
      </c>
      <c r="C213" s="64">
        <v>12</v>
      </c>
      <c r="D213" s="64">
        <v>1</v>
      </c>
      <c r="E213" s="6">
        <v>167112.34</v>
      </c>
      <c r="F213" s="6">
        <v>55.52</v>
      </c>
      <c r="G213" s="6">
        <v>167112.34</v>
      </c>
      <c r="H213" s="6">
        <v>52.36</v>
      </c>
      <c r="I213" s="6">
        <v>167112.34</v>
      </c>
      <c r="J213" s="6">
        <v>52.36</v>
      </c>
      <c r="K213" s="6">
        <v>167112.34</v>
      </c>
      <c r="L213" s="6">
        <v>52.65</v>
      </c>
      <c r="M213" s="6">
        <v>167112.34</v>
      </c>
      <c r="N213" s="6">
        <v>50.79</v>
      </c>
    </row>
    <row r="214" spans="1:14" x14ac:dyDescent="0.2">
      <c r="A214" s="64" t="s">
        <v>10</v>
      </c>
      <c r="B214" s="64" t="s">
        <v>289</v>
      </c>
      <c r="C214" s="64">
        <v>14</v>
      </c>
      <c r="D214" s="64">
        <v>1</v>
      </c>
      <c r="E214" s="6">
        <v>181844.71</v>
      </c>
      <c r="F214" s="6">
        <v>60.79</v>
      </c>
      <c r="G214" s="6">
        <v>181844.71</v>
      </c>
      <c r="H214" s="6">
        <v>58.39</v>
      </c>
      <c r="I214" s="6">
        <v>181844.71</v>
      </c>
      <c r="J214" s="6">
        <v>58.39</v>
      </c>
      <c r="K214" s="6">
        <v>181844.71</v>
      </c>
      <c r="L214" s="6">
        <v>60.87</v>
      </c>
      <c r="M214" s="6">
        <v>181844.71</v>
      </c>
      <c r="N214" s="6">
        <v>60.26</v>
      </c>
    </row>
    <row r="215" spans="1:14" x14ac:dyDescent="0.2">
      <c r="A215" s="64" t="s">
        <v>10</v>
      </c>
      <c r="B215" s="64" t="s">
        <v>289</v>
      </c>
      <c r="C215" s="64">
        <v>16</v>
      </c>
      <c r="D215" s="64">
        <v>1</v>
      </c>
      <c r="E215" s="6">
        <v>213881.83</v>
      </c>
      <c r="F215" s="6">
        <v>78.87</v>
      </c>
      <c r="G215" s="6">
        <v>213881.83</v>
      </c>
      <c r="H215" s="6">
        <v>86.4</v>
      </c>
      <c r="I215" s="6">
        <v>213881.83</v>
      </c>
      <c r="J215" s="6">
        <v>86.4</v>
      </c>
      <c r="K215" s="6">
        <v>213881.83</v>
      </c>
      <c r="L215" s="6">
        <v>87.98</v>
      </c>
      <c r="M215" s="6">
        <v>213881.83</v>
      </c>
      <c r="N215" s="6">
        <v>90.79</v>
      </c>
    </row>
    <row r="216" spans="1:14" x14ac:dyDescent="0.2">
      <c r="A216" s="64" t="s">
        <v>10</v>
      </c>
      <c r="B216" s="64" t="s">
        <v>289</v>
      </c>
      <c r="C216" s="64">
        <v>18</v>
      </c>
      <c r="D216" s="64">
        <v>1</v>
      </c>
      <c r="E216" s="6">
        <v>239161.19</v>
      </c>
      <c r="F216" s="6">
        <v>75.94</v>
      </c>
      <c r="G216" s="6">
        <v>239161.19</v>
      </c>
      <c r="H216" s="6">
        <v>84.27</v>
      </c>
      <c r="I216" s="6">
        <v>239161.19</v>
      </c>
      <c r="J216" s="6">
        <v>84.27</v>
      </c>
      <c r="K216" s="6">
        <v>239432.51</v>
      </c>
      <c r="L216" s="6">
        <v>80.41</v>
      </c>
      <c r="M216" s="6">
        <v>240122.56</v>
      </c>
      <c r="N216" s="6">
        <v>84.32</v>
      </c>
    </row>
    <row r="217" spans="1:14" x14ac:dyDescent="0.2">
      <c r="A217" s="64" t="s">
        <v>10</v>
      </c>
      <c r="B217" s="64" t="s">
        <v>289</v>
      </c>
      <c r="C217" s="64">
        <v>20</v>
      </c>
      <c r="D217" s="64">
        <v>1</v>
      </c>
      <c r="E217" s="6">
        <v>259078.44</v>
      </c>
      <c r="F217" s="6">
        <v>107.01</v>
      </c>
      <c r="G217" s="6">
        <v>260338.37</v>
      </c>
      <c r="H217" s="6">
        <v>114.79</v>
      </c>
      <c r="I217" s="6">
        <v>260338.37</v>
      </c>
      <c r="J217" s="6">
        <v>114.79</v>
      </c>
      <c r="K217" s="6">
        <v>259067.51</v>
      </c>
      <c r="L217" s="6">
        <v>128.27000000000001</v>
      </c>
      <c r="M217" s="6">
        <v>259067.51</v>
      </c>
      <c r="N217" s="6">
        <v>117.05</v>
      </c>
    </row>
    <row r="218" spans="1:14" x14ac:dyDescent="0.2">
      <c r="A218" s="64" t="s">
        <v>10</v>
      </c>
      <c r="B218" s="64" t="s">
        <v>289</v>
      </c>
      <c r="C218" s="64">
        <v>22</v>
      </c>
      <c r="D218" s="64">
        <v>1</v>
      </c>
      <c r="E218" s="6">
        <v>287473.96000000002</v>
      </c>
      <c r="F218" s="6">
        <v>106.05</v>
      </c>
      <c r="G218" s="6">
        <v>287473.96000000002</v>
      </c>
      <c r="H218" s="6">
        <v>106.47</v>
      </c>
      <c r="I218" s="6">
        <v>287473.96000000002</v>
      </c>
      <c r="J218" s="6">
        <v>106.47</v>
      </c>
      <c r="K218" s="6">
        <v>287379.5</v>
      </c>
      <c r="L218" s="6">
        <v>96.7</v>
      </c>
      <c r="M218" s="6">
        <v>287473.96000000002</v>
      </c>
      <c r="N218" s="6">
        <v>110.81</v>
      </c>
    </row>
    <row r="219" spans="1:14" x14ac:dyDescent="0.2">
      <c r="A219" s="64"/>
      <c r="B219" s="64"/>
      <c r="C219" s="64"/>
      <c r="D219" s="64"/>
      <c r="E219" s="6"/>
      <c r="F219" s="6"/>
      <c r="G219" s="6"/>
      <c r="H219" s="68"/>
      <c r="I219" s="6"/>
      <c r="J219" s="68"/>
      <c r="K219" s="6"/>
      <c r="L219" s="6"/>
      <c r="M219" s="6"/>
      <c r="N219" s="6"/>
    </row>
    <row r="220" spans="1:14" x14ac:dyDescent="0.2">
      <c r="A220" s="64" t="s">
        <v>10</v>
      </c>
      <c r="B220" s="64" t="s">
        <v>289</v>
      </c>
      <c r="C220" s="64">
        <v>4</v>
      </c>
      <c r="D220" s="64">
        <v>0.5</v>
      </c>
      <c r="E220" s="6">
        <v>64370.67</v>
      </c>
      <c r="F220" s="6">
        <v>23.33</v>
      </c>
      <c r="G220" s="6">
        <v>64370.67</v>
      </c>
      <c r="H220" s="6">
        <v>23.11</v>
      </c>
      <c r="I220" s="6">
        <v>64370.67</v>
      </c>
      <c r="J220" s="6">
        <v>23.11</v>
      </c>
      <c r="K220" s="6">
        <v>64370.67</v>
      </c>
      <c r="L220" s="6">
        <v>22.58</v>
      </c>
      <c r="M220" s="6">
        <v>64370.67</v>
      </c>
      <c r="N220" s="6">
        <v>22.05</v>
      </c>
    </row>
    <row r="221" spans="1:14" x14ac:dyDescent="0.2">
      <c r="A221" s="64" t="s">
        <v>10</v>
      </c>
      <c r="B221" s="64" t="s">
        <v>289</v>
      </c>
      <c r="C221" s="64">
        <v>6</v>
      </c>
      <c r="D221" s="64">
        <v>0.5</v>
      </c>
      <c r="E221" s="6">
        <v>118922.14</v>
      </c>
      <c r="F221" s="6">
        <v>44.92</v>
      </c>
      <c r="G221" s="6">
        <v>118922.14</v>
      </c>
      <c r="H221" s="6">
        <v>50.64</v>
      </c>
      <c r="I221" s="6">
        <v>118922.14</v>
      </c>
      <c r="J221" s="6">
        <v>50.64</v>
      </c>
      <c r="K221" s="6">
        <v>118922.14</v>
      </c>
      <c r="L221" s="6">
        <v>47.46</v>
      </c>
      <c r="M221" s="6">
        <v>118922.14</v>
      </c>
      <c r="N221" s="6">
        <v>43.46</v>
      </c>
    </row>
    <row r="222" spans="1:14" x14ac:dyDescent="0.2">
      <c r="A222" s="64" t="s">
        <v>10</v>
      </c>
      <c r="B222" s="64" t="s">
        <v>289</v>
      </c>
      <c r="C222" s="64">
        <v>8</v>
      </c>
      <c r="D222" s="64">
        <v>0.5</v>
      </c>
      <c r="E222" s="6">
        <v>174258.71</v>
      </c>
      <c r="F222" s="6">
        <v>79.84</v>
      </c>
      <c r="G222" s="6">
        <v>174258.71</v>
      </c>
      <c r="H222" s="6">
        <v>100.12</v>
      </c>
      <c r="I222" s="6">
        <v>174258.71</v>
      </c>
      <c r="J222" s="6">
        <v>100.12</v>
      </c>
      <c r="K222" s="6">
        <v>174258.71</v>
      </c>
      <c r="L222" s="6">
        <v>83.44</v>
      </c>
      <c r="M222" s="6">
        <v>174558.86</v>
      </c>
      <c r="N222" s="6">
        <v>71.650000000000006</v>
      </c>
    </row>
    <row r="223" spans="1:14" x14ac:dyDescent="0.2">
      <c r="A223" s="64" t="s">
        <v>10</v>
      </c>
      <c r="B223" s="64" t="s">
        <v>289</v>
      </c>
      <c r="C223" s="64">
        <v>10</v>
      </c>
      <c r="D223" s="64">
        <v>0.5</v>
      </c>
      <c r="E223" s="6">
        <v>195071.81</v>
      </c>
      <c r="F223" s="6">
        <v>106.19</v>
      </c>
      <c r="G223" s="6">
        <v>192131.13</v>
      </c>
      <c r="H223" s="6">
        <v>140.19</v>
      </c>
      <c r="I223" s="6">
        <v>192131.13</v>
      </c>
      <c r="J223" s="6">
        <v>140.19</v>
      </c>
      <c r="K223" s="6">
        <v>192131.13</v>
      </c>
      <c r="L223" s="6">
        <v>125.44</v>
      </c>
      <c r="M223" s="6">
        <v>192131.13</v>
      </c>
      <c r="N223" s="6">
        <v>92.82</v>
      </c>
    </row>
    <row r="224" spans="1:14" x14ac:dyDescent="0.2">
      <c r="A224" s="64" t="s">
        <v>10</v>
      </c>
      <c r="B224" s="64" t="s">
        <v>289</v>
      </c>
      <c r="C224" s="64">
        <v>12</v>
      </c>
      <c r="D224" s="64">
        <v>0.5</v>
      </c>
      <c r="E224" s="6">
        <v>223261.63</v>
      </c>
      <c r="F224" s="6">
        <v>206.19</v>
      </c>
      <c r="G224" s="6">
        <v>223261.63</v>
      </c>
      <c r="H224" s="6">
        <v>250.63</v>
      </c>
      <c r="I224" s="6">
        <v>223261.63</v>
      </c>
      <c r="J224" s="6">
        <v>250.63</v>
      </c>
      <c r="K224" s="6">
        <v>223261.63</v>
      </c>
      <c r="L224" s="6">
        <v>186.21</v>
      </c>
      <c r="M224" s="6">
        <v>223261.63</v>
      </c>
      <c r="N224" s="6">
        <v>143.86000000000001</v>
      </c>
    </row>
    <row r="225" spans="1:14" x14ac:dyDescent="0.2">
      <c r="A225" s="64" t="s">
        <v>10</v>
      </c>
      <c r="B225" s="64" t="s">
        <v>289</v>
      </c>
      <c r="C225" s="64">
        <v>14</v>
      </c>
      <c r="D225" s="64">
        <v>0.5</v>
      </c>
      <c r="E225" s="6">
        <v>247196.19</v>
      </c>
      <c r="F225" s="6">
        <v>364.81</v>
      </c>
      <c r="G225" s="6">
        <v>245617.84</v>
      </c>
      <c r="H225" s="6">
        <v>428.78</v>
      </c>
      <c r="I225" s="6">
        <v>245617.84</v>
      </c>
      <c r="J225" s="6">
        <v>428.78</v>
      </c>
      <c r="K225" s="6">
        <v>245817.01</v>
      </c>
      <c r="L225" s="6">
        <v>314</v>
      </c>
      <c r="M225" s="6">
        <v>246302.96</v>
      </c>
      <c r="N225" s="6">
        <v>338.07</v>
      </c>
    </row>
    <row r="226" spans="1:14" x14ac:dyDescent="0.2">
      <c r="A226" s="64" t="s">
        <v>10</v>
      </c>
      <c r="B226" s="64" t="s">
        <v>289</v>
      </c>
      <c r="C226" s="64">
        <v>16</v>
      </c>
      <c r="D226" s="64">
        <v>0.5</v>
      </c>
      <c r="E226" s="6">
        <v>278714.27</v>
      </c>
      <c r="F226" s="6">
        <v>201.29</v>
      </c>
      <c r="G226" s="6">
        <v>278714.27</v>
      </c>
      <c r="H226" s="6">
        <v>292.08</v>
      </c>
      <c r="I226" s="6">
        <v>278714.27</v>
      </c>
      <c r="J226" s="6">
        <v>292.08</v>
      </c>
      <c r="K226" s="6">
        <v>278152.3</v>
      </c>
      <c r="L226" s="6">
        <v>268.14</v>
      </c>
      <c r="M226" s="6">
        <v>278152.3</v>
      </c>
      <c r="N226" s="6">
        <v>204.49</v>
      </c>
    </row>
    <row r="227" spans="1:14" x14ac:dyDescent="0.2">
      <c r="A227" s="64" t="s">
        <v>10</v>
      </c>
      <c r="B227" s="64" t="s">
        <v>289</v>
      </c>
      <c r="C227" s="64">
        <v>18</v>
      </c>
      <c r="D227" s="64">
        <v>0.5</v>
      </c>
      <c r="E227" s="6">
        <v>318618.02</v>
      </c>
      <c r="F227" s="6">
        <v>339.47</v>
      </c>
      <c r="G227" s="6">
        <v>319830.12</v>
      </c>
      <c r="H227" s="6">
        <v>597.67999999999995</v>
      </c>
      <c r="I227" s="6">
        <v>319830.12</v>
      </c>
      <c r="J227" s="6">
        <v>597.67999999999995</v>
      </c>
      <c r="K227" s="6">
        <v>321295.34000000003</v>
      </c>
      <c r="L227" s="6">
        <v>407.6</v>
      </c>
      <c r="M227" s="6">
        <v>321923.84999999998</v>
      </c>
      <c r="N227" s="6">
        <v>372.97</v>
      </c>
    </row>
    <row r="228" spans="1:14" x14ac:dyDescent="0.2">
      <c r="A228" s="64" t="s">
        <v>10</v>
      </c>
      <c r="B228" s="64" t="s">
        <v>289</v>
      </c>
      <c r="C228" s="64">
        <v>20</v>
      </c>
      <c r="D228" s="64">
        <v>0.5</v>
      </c>
      <c r="E228" s="6">
        <v>340947.11</v>
      </c>
      <c r="F228" s="6">
        <v>273.10000000000002</v>
      </c>
      <c r="G228" s="6">
        <v>340907.18</v>
      </c>
      <c r="H228" s="6">
        <v>491.67</v>
      </c>
      <c r="I228" s="6">
        <v>340907.18</v>
      </c>
      <c r="J228" s="6">
        <v>491.67</v>
      </c>
      <c r="K228" s="6">
        <v>340947.11</v>
      </c>
      <c r="L228" s="6">
        <v>427.26</v>
      </c>
      <c r="M228" s="6">
        <v>340947.11</v>
      </c>
      <c r="N228" s="6">
        <v>361.41</v>
      </c>
    </row>
    <row r="229" spans="1:14" x14ac:dyDescent="0.2">
      <c r="A229" s="64" t="s">
        <v>10</v>
      </c>
      <c r="B229" s="64" t="s">
        <v>289</v>
      </c>
      <c r="C229" s="64">
        <v>22</v>
      </c>
      <c r="D229" s="64">
        <v>0.5</v>
      </c>
      <c r="E229" s="6">
        <v>380892.94</v>
      </c>
      <c r="F229" s="6">
        <v>322.77</v>
      </c>
      <c r="G229" s="6">
        <v>380042.59</v>
      </c>
      <c r="H229" s="6">
        <v>509.23</v>
      </c>
      <c r="I229" s="6">
        <v>380042.59</v>
      </c>
      <c r="J229" s="6">
        <v>509.23</v>
      </c>
      <c r="K229" s="6">
        <v>381199.13</v>
      </c>
      <c r="L229" s="6">
        <v>337.59</v>
      </c>
      <c r="M229" s="6">
        <v>381199.13</v>
      </c>
      <c r="N229" s="6">
        <v>287.68</v>
      </c>
    </row>
    <row r="230" spans="1:14" x14ac:dyDescent="0.2">
      <c r="E230" s="6"/>
      <c r="F230" s="6"/>
      <c r="G230" s="6"/>
      <c r="H230" s="6"/>
      <c r="I230" s="6"/>
      <c r="J230" s="6"/>
      <c r="K230" s="6"/>
      <c r="L230" s="6"/>
      <c r="M230" s="6"/>
      <c r="N230" s="6"/>
    </row>
    <row r="231" spans="1:14" x14ac:dyDescent="0.2">
      <c r="A231" s="64" t="s">
        <v>10</v>
      </c>
      <c r="B231" s="64" t="s">
        <v>289</v>
      </c>
      <c r="C231" s="64">
        <v>4</v>
      </c>
      <c r="D231" s="64">
        <v>0.3</v>
      </c>
      <c r="E231" s="6" t="s">
        <v>15</v>
      </c>
      <c r="F231" s="6">
        <v>16.27</v>
      </c>
      <c r="G231" s="6" t="s">
        <v>15</v>
      </c>
      <c r="H231" s="6">
        <v>25.34</v>
      </c>
      <c r="I231" s="6" t="s">
        <v>15</v>
      </c>
      <c r="J231" s="6">
        <v>25.34</v>
      </c>
      <c r="K231" s="6" t="s">
        <v>15</v>
      </c>
      <c r="L231" s="6">
        <v>16.350000000000001</v>
      </c>
      <c r="M231" s="6" t="s">
        <v>15</v>
      </c>
      <c r="N231" s="6">
        <v>16.399999999999999</v>
      </c>
    </row>
    <row r="232" spans="1:14" x14ac:dyDescent="0.2">
      <c r="A232" s="64" t="s">
        <v>10</v>
      </c>
      <c r="B232" s="64" t="s">
        <v>289</v>
      </c>
      <c r="C232" s="64">
        <v>6</v>
      </c>
      <c r="D232" s="64">
        <v>0.3</v>
      </c>
      <c r="E232" s="6" t="s">
        <v>15</v>
      </c>
      <c r="F232" s="6">
        <v>44.71</v>
      </c>
      <c r="G232" s="6" t="s">
        <v>15</v>
      </c>
      <c r="H232" s="6">
        <v>50.06</v>
      </c>
      <c r="I232" s="6" t="s">
        <v>15</v>
      </c>
      <c r="J232" s="6">
        <v>50.06</v>
      </c>
      <c r="K232" s="6" t="s">
        <v>15</v>
      </c>
      <c r="L232" s="6">
        <v>44.27</v>
      </c>
      <c r="M232" s="6" t="s">
        <v>15</v>
      </c>
      <c r="N232" s="6">
        <v>39.67</v>
      </c>
    </row>
    <row r="233" spans="1:14" x14ac:dyDescent="0.2">
      <c r="A233" s="64" t="s">
        <v>10</v>
      </c>
      <c r="B233" s="64" t="s">
        <v>289</v>
      </c>
      <c r="C233" s="64">
        <v>8</v>
      </c>
      <c r="D233" s="64">
        <v>0.3</v>
      </c>
      <c r="E233" s="6" t="s">
        <v>15</v>
      </c>
      <c r="F233" s="6">
        <v>59.78</v>
      </c>
      <c r="G233" s="6" t="s">
        <v>15</v>
      </c>
      <c r="H233" s="6">
        <v>98.94</v>
      </c>
      <c r="I233" s="6" t="s">
        <v>15</v>
      </c>
      <c r="J233" s="6">
        <v>98.94</v>
      </c>
      <c r="K233" s="6" t="s">
        <v>15</v>
      </c>
      <c r="L233" s="6">
        <v>77.59</v>
      </c>
      <c r="M233" s="6" t="s">
        <v>15</v>
      </c>
      <c r="N233" s="6">
        <v>62.82</v>
      </c>
    </row>
    <row r="234" spans="1:14" x14ac:dyDescent="0.2">
      <c r="A234" s="64" t="s">
        <v>10</v>
      </c>
      <c r="B234" s="64" t="s">
        <v>289</v>
      </c>
      <c r="C234" s="64">
        <v>10</v>
      </c>
      <c r="D234" s="64">
        <v>0.3</v>
      </c>
      <c r="E234" s="6">
        <v>264053.07</v>
      </c>
      <c r="F234" s="6">
        <v>226.02</v>
      </c>
      <c r="G234" s="6">
        <v>264053.07</v>
      </c>
      <c r="H234" s="6">
        <v>350.49</v>
      </c>
      <c r="I234" s="6">
        <v>264053.07</v>
      </c>
      <c r="J234" s="6">
        <v>350.49</v>
      </c>
      <c r="K234" s="6">
        <v>264053.07</v>
      </c>
      <c r="L234" s="6">
        <v>347.13</v>
      </c>
      <c r="M234" s="6">
        <v>264312.40999999997</v>
      </c>
      <c r="N234" s="6">
        <v>223.27</v>
      </c>
    </row>
    <row r="235" spans="1:14" x14ac:dyDescent="0.2">
      <c r="A235" s="64" t="s">
        <v>10</v>
      </c>
      <c r="B235" s="64" t="s">
        <v>289</v>
      </c>
      <c r="C235" s="64">
        <v>12</v>
      </c>
      <c r="D235" s="64">
        <v>0.3</v>
      </c>
      <c r="E235" s="6">
        <v>317030.61</v>
      </c>
      <c r="F235" s="6">
        <v>319.85000000000002</v>
      </c>
      <c r="G235" s="6">
        <v>317030.61</v>
      </c>
      <c r="H235" s="6">
        <v>554.99</v>
      </c>
      <c r="I235" s="6">
        <v>317030.61</v>
      </c>
      <c r="J235" s="6">
        <v>554.99</v>
      </c>
      <c r="K235" s="6">
        <v>326907.78999999998</v>
      </c>
      <c r="L235" s="6">
        <v>217.89</v>
      </c>
      <c r="M235" s="6">
        <v>317030.61</v>
      </c>
      <c r="N235" s="6">
        <v>311.92</v>
      </c>
    </row>
    <row r="236" spans="1:14" x14ac:dyDescent="0.2">
      <c r="A236" s="64" t="s">
        <v>10</v>
      </c>
      <c r="B236" s="64" t="s">
        <v>289</v>
      </c>
      <c r="C236" s="64">
        <v>14</v>
      </c>
      <c r="D236" s="64">
        <v>0.3</v>
      </c>
      <c r="E236" s="6">
        <v>351418.64</v>
      </c>
      <c r="F236" s="6">
        <v>328.76</v>
      </c>
      <c r="G236" s="6">
        <v>351418.64</v>
      </c>
      <c r="H236" s="6">
        <v>788.84</v>
      </c>
      <c r="I236" s="6">
        <v>351418.64</v>
      </c>
      <c r="J236" s="6">
        <v>788.84</v>
      </c>
      <c r="K236" s="6">
        <v>351418.64</v>
      </c>
      <c r="L236" s="6">
        <v>633.89</v>
      </c>
      <c r="M236" s="6">
        <v>351357.52</v>
      </c>
      <c r="N236" s="6">
        <v>447.55</v>
      </c>
    </row>
    <row r="237" spans="1:14" x14ac:dyDescent="0.2">
      <c r="A237" s="64" t="s">
        <v>10</v>
      </c>
      <c r="B237" s="64" t="s">
        <v>289</v>
      </c>
      <c r="C237" s="64">
        <v>16</v>
      </c>
      <c r="D237" s="64">
        <v>0.3</v>
      </c>
      <c r="E237" s="6">
        <v>355746.86</v>
      </c>
      <c r="F237" s="6">
        <v>772.89</v>
      </c>
      <c r="G237" s="6">
        <v>355746.86</v>
      </c>
      <c r="H237" s="6">
        <v>1487.38</v>
      </c>
      <c r="I237" s="6">
        <v>355746.86</v>
      </c>
      <c r="J237" s="6">
        <v>1487.38</v>
      </c>
      <c r="K237" s="6">
        <v>356129.93</v>
      </c>
      <c r="L237" s="6">
        <v>1353.56</v>
      </c>
      <c r="M237" s="6">
        <v>356129.93</v>
      </c>
      <c r="N237" s="6">
        <v>776.3</v>
      </c>
    </row>
    <row r="238" spans="1:14" x14ac:dyDescent="0.2">
      <c r="A238" s="64" t="s">
        <v>10</v>
      </c>
      <c r="B238" s="64" t="s">
        <v>289</v>
      </c>
      <c r="C238" s="64">
        <v>18</v>
      </c>
      <c r="D238" s="64">
        <v>0.3</v>
      </c>
      <c r="E238" s="6">
        <v>403200.92</v>
      </c>
      <c r="F238" s="6">
        <v>679.19</v>
      </c>
      <c r="G238" s="6">
        <v>404148.2</v>
      </c>
      <c r="H238" s="6">
        <v>1766.87</v>
      </c>
      <c r="I238" s="6">
        <v>404148.2</v>
      </c>
      <c r="J238" s="6">
        <v>1766.87</v>
      </c>
      <c r="K238" s="6">
        <v>404313.5</v>
      </c>
      <c r="L238" s="6">
        <v>1251.1600000000001</v>
      </c>
      <c r="M238" s="6">
        <v>403425.29</v>
      </c>
      <c r="N238" s="6">
        <v>1174.6199999999999</v>
      </c>
    </row>
    <row r="239" spans="1:14" x14ac:dyDescent="0.2">
      <c r="A239" s="64" t="s">
        <v>10</v>
      </c>
      <c r="B239" s="64" t="s">
        <v>289</v>
      </c>
      <c r="C239" s="64">
        <v>20</v>
      </c>
      <c r="D239" s="64">
        <v>0.3</v>
      </c>
      <c r="E239" s="6">
        <v>443160.39</v>
      </c>
      <c r="F239" s="6">
        <v>949.22</v>
      </c>
      <c r="G239" s="6">
        <v>443160.39</v>
      </c>
      <c r="H239" s="6">
        <v>2651.12</v>
      </c>
      <c r="I239" s="6">
        <v>443160.39</v>
      </c>
      <c r="J239" s="6">
        <v>2651.12</v>
      </c>
      <c r="K239" s="6">
        <v>443160.39</v>
      </c>
      <c r="L239" s="6">
        <v>2195.5100000000002</v>
      </c>
      <c r="M239" s="6">
        <v>443160.39</v>
      </c>
      <c r="N239" s="6">
        <v>1084.5999999999999</v>
      </c>
    </row>
    <row r="240" spans="1:14" x14ac:dyDescent="0.2">
      <c r="A240" s="64" t="s">
        <v>10</v>
      </c>
      <c r="B240" s="64" t="s">
        <v>289</v>
      </c>
      <c r="C240" s="64">
        <v>22</v>
      </c>
      <c r="D240" s="64">
        <v>0.3</v>
      </c>
      <c r="E240" s="6">
        <v>498836.22</v>
      </c>
      <c r="F240" s="6">
        <v>1631.09</v>
      </c>
      <c r="G240" s="6">
        <v>498836.22</v>
      </c>
      <c r="H240" s="6">
        <v>3131.97</v>
      </c>
      <c r="I240" s="6">
        <v>498836.22</v>
      </c>
      <c r="J240" s="6">
        <v>3131.97</v>
      </c>
      <c r="K240" s="6">
        <v>499210.97</v>
      </c>
      <c r="L240" s="6">
        <v>2498.7800000000002</v>
      </c>
      <c r="M240" s="6">
        <v>497655.49</v>
      </c>
      <c r="N240" s="6">
        <v>1733.23</v>
      </c>
    </row>
    <row r="241" spans="1:14" x14ac:dyDescent="0.2">
      <c r="A241" s="66"/>
      <c r="B241" s="66"/>
      <c r="C241" s="66"/>
      <c r="D241" s="66"/>
      <c r="E241" s="5"/>
      <c r="F241" s="5"/>
      <c r="G241" s="67"/>
      <c r="H241" s="67"/>
      <c r="I241" s="67"/>
      <c r="J241" s="67"/>
      <c r="K241" s="66"/>
      <c r="L241" s="66"/>
      <c r="M241" s="67"/>
      <c r="N241" s="67"/>
    </row>
    <row r="242" spans="1:14" x14ac:dyDescent="0.2">
      <c r="A242" s="64" t="s">
        <v>11</v>
      </c>
      <c r="B242" s="64" t="s">
        <v>289</v>
      </c>
      <c r="C242" s="64">
        <v>4</v>
      </c>
      <c r="D242" s="64">
        <v>1</v>
      </c>
      <c r="E242" s="6">
        <v>48507.24</v>
      </c>
      <c r="F242" s="6">
        <v>14.92</v>
      </c>
      <c r="G242" s="6">
        <v>48507.24</v>
      </c>
      <c r="H242" s="6">
        <v>14.68</v>
      </c>
      <c r="I242" s="6">
        <v>48507.24</v>
      </c>
      <c r="J242" s="6">
        <v>14.68</v>
      </c>
      <c r="K242" s="6">
        <v>48507.24</v>
      </c>
      <c r="L242" s="6">
        <v>14.59</v>
      </c>
      <c r="M242" s="6">
        <v>48507.24</v>
      </c>
      <c r="N242" s="6">
        <v>14.62</v>
      </c>
    </row>
    <row r="243" spans="1:14" x14ac:dyDescent="0.2">
      <c r="A243" s="64" t="s">
        <v>11</v>
      </c>
      <c r="B243" s="64" t="s">
        <v>289</v>
      </c>
      <c r="C243" s="64">
        <v>6</v>
      </c>
      <c r="D243" s="64">
        <v>1</v>
      </c>
      <c r="E243" s="6">
        <v>77262.31</v>
      </c>
      <c r="F243" s="6">
        <v>19.93</v>
      </c>
      <c r="G243" s="6">
        <v>77262.31</v>
      </c>
      <c r="H243" s="6">
        <v>19.329999999999998</v>
      </c>
      <c r="I243" s="6">
        <v>77262.31</v>
      </c>
      <c r="J243" s="6">
        <v>19.329999999999998</v>
      </c>
      <c r="K243" s="6">
        <v>77262.31</v>
      </c>
      <c r="L243" s="6">
        <v>19.61</v>
      </c>
      <c r="M243" s="6">
        <v>77262.31</v>
      </c>
      <c r="N243" s="6">
        <v>19.23</v>
      </c>
    </row>
    <row r="244" spans="1:14" x14ac:dyDescent="0.2">
      <c r="A244" s="64" t="s">
        <v>11</v>
      </c>
      <c r="B244" s="64" t="s">
        <v>289</v>
      </c>
      <c r="C244" s="64">
        <v>8</v>
      </c>
      <c r="D244" s="64">
        <v>1</v>
      </c>
      <c r="E244" s="6">
        <v>113592.25</v>
      </c>
      <c r="F244" s="6">
        <v>27.72</v>
      </c>
      <c r="G244" s="6">
        <v>113592.25</v>
      </c>
      <c r="H244" s="6">
        <v>27.39</v>
      </c>
      <c r="I244" s="6">
        <v>113592.25</v>
      </c>
      <c r="J244" s="6">
        <v>27.39</v>
      </c>
      <c r="K244" s="6">
        <v>113592.25</v>
      </c>
      <c r="L244" s="6">
        <v>28.68</v>
      </c>
      <c r="M244" s="6">
        <v>113592.25</v>
      </c>
      <c r="N244" s="6">
        <v>26.85</v>
      </c>
    </row>
    <row r="245" spans="1:14" x14ac:dyDescent="0.2">
      <c r="A245" s="64" t="s">
        <v>11</v>
      </c>
      <c r="B245" s="64" t="s">
        <v>289</v>
      </c>
      <c r="C245" s="64">
        <v>10</v>
      </c>
      <c r="D245" s="64">
        <v>1</v>
      </c>
      <c r="E245" s="6">
        <v>134578.49</v>
      </c>
      <c r="F245" s="6">
        <v>41.99</v>
      </c>
      <c r="G245" s="6">
        <v>134578.49</v>
      </c>
      <c r="H245" s="6">
        <v>43.87</v>
      </c>
      <c r="I245" s="6">
        <v>134578.49</v>
      </c>
      <c r="J245" s="6">
        <v>43.87</v>
      </c>
      <c r="K245" s="6">
        <v>134578.49</v>
      </c>
      <c r="L245" s="6">
        <v>40.61</v>
      </c>
      <c r="M245" s="6">
        <v>134578.49</v>
      </c>
      <c r="N245" s="6">
        <v>37.700000000000003</v>
      </c>
    </row>
    <row r="246" spans="1:14" x14ac:dyDescent="0.2">
      <c r="A246" s="64" t="s">
        <v>11</v>
      </c>
      <c r="B246" s="64" t="s">
        <v>289</v>
      </c>
      <c r="C246" s="64">
        <v>12</v>
      </c>
      <c r="D246" s="64">
        <v>1</v>
      </c>
      <c r="E246" s="6">
        <v>156511.37</v>
      </c>
      <c r="F246" s="6">
        <v>53.4</v>
      </c>
      <c r="G246" s="6">
        <v>156511.37</v>
      </c>
      <c r="H246" s="6">
        <v>56.59</v>
      </c>
      <c r="I246" s="6">
        <v>156511.37</v>
      </c>
      <c r="J246" s="6">
        <v>56.59</v>
      </c>
      <c r="K246" s="6">
        <v>156511.37</v>
      </c>
      <c r="L246" s="6">
        <v>51.41</v>
      </c>
      <c r="M246" s="6">
        <v>156511.37</v>
      </c>
      <c r="N246" s="6">
        <v>47.77</v>
      </c>
    </row>
    <row r="247" spans="1:14" x14ac:dyDescent="0.2">
      <c r="A247" s="64" t="s">
        <v>11</v>
      </c>
      <c r="B247" s="64" t="s">
        <v>289</v>
      </c>
      <c r="C247" s="64">
        <v>14</v>
      </c>
      <c r="D247" s="64">
        <v>1</v>
      </c>
      <c r="E247" s="6">
        <v>166271.46</v>
      </c>
      <c r="F247" s="6">
        <v>67.47</v>
      </c>
      <c r="G247" s="6">
        <v>166271.46</v>
      </c>
      <c r="H247" s="6">
        <v>70.55</v>
      </c>
      <c r="I247" s="6">
        <v>166271.46</v>
      </c>
      <c r="J247" s="6">
        <v>70.55</v>
      </c>
      <c r="K247" s="6">
        <v>166271.46</v>
      </c>
      <c r="L247" s="6">
        <v>64.739999999999995</v>
      </c>
      <c r="M247" s="6">
        <v>166271.46</v>
      </c>
      <c r="N247" s="6">
        <v>59.19</v>
      </c>
    </row>
    <row r="248" spans="1:14" x14ac:dyDescent="0.2">
      <c r="A248" s="64" t="s">
        <v>11</v>
      </c>
      <c r="B248" s="64" t="s">
        <v>289</v>
      </c>
      <c r="C248" s="64">
        <v>16</v>
      </c>
      <c r="D248" s="64">
        <v>1</v>
      </c>
      <c r="E248" s="6">
        <v>202984.37</v>
      </c>
      <c r="F248" s="6">
        <v>76.959999999999994</v>
      </c>
      <c r="G248" s="6">
        <v>202984.37</v>
      </c>
      <c r="H248" s="6">
        <v>84.03</v>
      </c>
      <c r="I248" s="6">
        <v>202984.37</v>
      </c>
      <c r="J248" s="6">
        <v>84.03</v>
      </c>
      <c r="K248" s="6">
        <v>202984.37</v>
      </c>
      <c r="L248" s="6">
        <v>67.099999999999994</v>
      </c>
      <c r="M248" s="6">
        <v>202984.37</v>
      </c>
      <c r="N248" s="6">
        <v>66.48</v>
      </c>
    </row>
    <row r="249" spans="1:14" x14ac:dyDescent="0.2">
      <c r="A249" s="64" t="s">
        <v>11</v>
      </c>
      <c r="B249" s="64" t="s">
        <v>289</v>
      </c>
      <c r="C249" s="64">
        <v>18</v>
      </c>
      <c r="D249" s="64">
        <v>1</v>
      </c>
      <c r="E249" s="6">
        <v>216666.26</v>
      </c>
      <c r="F249" s="6">
        <v>88.5</v>
      </c>
      <c r="G249" s="6">
        <v>216666.26</v>
      </c>
      <c r="H249" s="6">
        <v>96.05</v>
      </c>
      <c r="I249" s="6">
        <v>216666.26</v>
      </c>
      <c r="J249" s="6">
        <v>96.05</v>
      </c>
      <c r="K249" s="6">
        <v>216666.26</v>
      </c>
      <c r="L249" s="6">
        <v>80.180000000000007</v>
      </c>
      <c r="M249" s="6">
        <v>216666.26</v>
      </c>
      <c r="N249" s="6">
        <v>85.07</v>
      </c>
    </row>
    <row r="250" spans="1:14" x14ac:dyDescent="0.2">
      <c r="A250" s="64" t="s">
        <v>11</v>
      </c>
      <c r="B250" s="64" t="s">
        <v>289</v>
      </c>
      <c r="C250" s="64">
        <v>20</v>
      </c>
      <c r="D250" s="64">
        <v>1</v>
      </c>
      <c r="E250" s="6">
        <v>254603.45</v>
      </c>
      <c r="F250" s="6">
        <v>116.11</v>
      </c>
      <c r="G250" s="6">
        <v>254603.45</v>
      </c>
      <c r="H250" s="6">
        <v>125.96</v>
      </c>
      <c r="I250" s="6">
        <v>254603.45</v>
      </c>
      <c r="J250" s="6">
        <v>125.96</v>
      </c>
      <c r="K250" s="6">
        <v>254603.45</v>
      </c>
      <c r="L250" s="6">
        <v>104.49</v>
      </c>
      <c r="M250" s="6">
        <v>254603.45</v>
      </c>
      <c r="N250" s="6">
        <v>95.72</v>
      </c>
    </row>
    <row r="251" spans="1:14" x14ac:dyDescent="0.2">
      <c r="A251" s="64" t="s">
        <v>11</v>
      </c>
      <c r="B251" s="64" t="s">
        <v>289</v>
      </c>
      <c r="C251" s="64">
        <v>22</v>
      </c>
      <c r="D251" s="64">
        <v>1</v>
      </c>
      <c r="E251" s="6">
        <v>289968.14</v>
      </c>
      <c r="F251" s="6">
        <v>116.03</v>
      </c>
      <c r="G251" s="6">
        <v>289968.14</v>
      </c>
      <c r="H251" s="6">
        <v>115.26</v>
      </c>
      <c r="I251" s="6">
        <v>289968.14</v>
      </c>
      <c r="J251" s="6">
        <v>115.26</v>
      </c>
      <c r="K251" s="6">
        <v>290219.21000000002</v>
      </c>
      <c r="L251" s="6">
        <v>114.82</v>
      </c>
      <c r="M251" s="6">
        <v>289968.14</v>
      </c>
      <c r="N251" s="6">
        <v>136.62</v>
      </c>
    </row>
    <row r="252" spans="1:14" x14ac:dyDescent="0.2">
      <c r="A252" s="64"/>
      <c r="B252" s="64"/>
      <c r="C252" s="64"/>
      <c r="D252" s="64"/>
      <c r="E252" s="6"/>
      <c r="F252" s="6"/>
      <c r="G252" s="6"/>
      <c r="H252" s="6"/>
      <c r="I252" s="6"/>
      <c r="J252" s="6"/>
      <c r="K252" s="6"/>
      <c r="L252" s="6"/>
      <c r="M252" s="6"/>
      <c r="N252" s="6"/>
    </row>
    <row r="253" spans="1:14" x14ac:dyDescent="0.2">
      <c r="A253" s="64" t="s">
        <v>11</v>
      </c>
      <c r="B253" s="64" t="s">
        <v>289</v>
      </c>
      <c r="C253" s="64">
        <v>4</v>
      </c>
      <c r="D253" s="64">
        <v>0.5</v>
      </c>
      <c r="E253" s="6">
        <v>61871.41</v>
      </c>
      <c r="F253" s="6">
        <v>14.67</v>
      </c>
      <c r="G253" s="6">
        <v>61871.41</v>
      </c>
      <c r="H253" s="6">
        <v>14.72</v>
      </c>
      <c r="I253" s="6">
        <v>61871.41</v>
      </c>
      <c r="J253" s="6">
        <v>14.72</v>
      </c>
      <c r="K253" s="6">
        <v>61871.41</v>
      </c>
      <c r="L253" s="6">
        <v>14.97</v>
      </c>
      <c r="M253" s="6">
        <v>61871.41</v>
      </c>
      <c r="N253" s="6">
        <v>14.73</v>
      </c>
    </row>
    <row r="254" spans="1:14" x14ac:dyDescent="0.2">
      <c r="A254" s="64" t="s">
        <v>11</v>
      </c>
      <c r="B254" s="64" t="s">
        <v>289</v>
      </c>
      <c r="C254" s="64">
        <v>6</v>
      </c>
      <c r="D254" s="64">
        <v>0.5</v>
      </c>
      <c r="E254" s="6">
        <v>111544.75</v>
      </c>
      <c r="F254" s="6">
        <v>23.94</v>
      </c>
      <c r="G254" s="6">
        <v>111731.68</v>
      </c>
      <c r="H254" s="6">
        <v>24.06</v>
      </c>
      <c r="I254" s="6">
        <v>111731.68</v>
      </c>
      <c r="J254" s="6">
        <v>24.06</v>
      </c>
      <c r="K254" s="6">
        <v>111544.75</v>
      </c>
      <c r="L254" s="6">
        <v>23.47</v>
      </c>
      <c r="M254" s="6">
        <v>111544.75</v>
      </c>
      <c r="N254" s="6">
        <v>23.2</v>
      </c>
    </row>
    <row r="255" spans="1:14" x14ac:dyDescent="0.2">
      <c r="A255" s="64" t="s">
        <v>11</v>
      </c>
      <c r="B255" s="64" t="s">
        <v>289</v>
      </c>
      <c r="C255" s="64">
        <v>8</v>
      </c>
      <c r="D255" s="64">
        <v>0.5</v>
      </c>
      <c r="E255" s="6">
        <v>165270.09</v>
      </c>
      <c r="F255" s="6">
        <v>30.05</v>
      </c>
      <c r="G255" s="6">
        <v>165270.09</v>
      </c>
      <c r="H255" s="6">
        <v>31.95</v>
      </c>
      <c r="I255" s="6">
        <v>165270.09</v>
      </c>
      <c r="J255" s="6">
        <v>31.95</v>
      </c>
      <c r="K255" s="6">
        <v>165270.09</v>
      </c>
      <c r="L255" s="6">
        <v>31.74</v>
      </c>
      <c r="M255" s="6">
        <v>165270.09</v>
      </c>
      <c r="N255" s="6">
        <v>32.590000000000003</v>
      </c>
    </row>
    <row r="256" spans="1:14" x14ac:dyDescent="0.2">
      <c r="A256" s="64" t="s">
        <v>11</v>
      </c>
      <c r="B256" s="64" t="s">
        <v>289</v>
      </c>
      <c r="C256" s="64">
        <v>10</v>
      </c>
      <c r="D256" s="64">
        <v>0.5</v>
      </c>
      <c r="E256" s="6">
        <v>177115.8</v>
      </c>
      <c r="F256" s="6">
        <v>118.98</v>
      </c>
      <c r="G256" s="6">
        <v>177115.8</v>
      </c>
      <c r="H256" s="6">
        <v>99.01</v>
      </c>
      <c r="I256" s="6">
        <v>177115.8</v>
      </c>
      <c r="J256" s="6">
        <v>99.01</v>
      </c>
      <c r="K256" s="6">
        <v>177115.8</v>
      </c>
      <c r="L256" s="6">
        <v>88.73</v>
      </c>
      <c r="M256" s="6">
        <v>177115.8</v>
      </c>
      <c r="N256" s="6">
        <v>112.5</v>
      </c>
    </row>
    <row r="257" spans="1:14" x14ac:dyDescent="0.2">
      <c r="A257" s="64" t="s">
        <v>11</v>
      </c>
      <c r="B257" s="64" t="s">
        <v>289</v>
      </c>
      <c r="C257" s="64">
        <v>12</v>
      </c>
      <c r="D257" s="64">
        <v>0.5</v>
      </c>
      <c r="E257" s="6">
        <v>204008.64</v>
      </c>
      <c r="F257" s="6">
        <v>166.74</v>
      </c>
      <c r="G257" s="6">
        <v>206498.49</v>
      </c>
      <c r="H257" s="6">
        <v>126.58</v>
      </c>
      <c r="I257" s="6">
        <v>206498.49</v>
      </c>
      <c r="J257" s="6">
        <v>126.58</v>
      </c>
      <c r="K257" s="6">
        <v>204207.81</v>
      </c>
      <c r="L257" s="6">
        <v>179.16</v>
      </c>
      <c r="M257" s="6">
        <v>206288.81</v>
      </c>
      <c r="N257" s="6">
        <v>166.42</v>
      </c>
    </row>
    <row r="258" spans="1:14" x14ac:dyDescent="0.2">
      <c r="A258" s="64" t="s">
        <v>11</v>
      </c>
      <c r="B258" s="64" t="s">
        <v>289</v>
      </c>
      <c r="C258" s="64">
        <v>14</v>
      </c>
      <c r="D258" s="64">
        <v>0.5</v>
      </c>
      <c r="E258" s="6">
        <v>224586.94</v>
      </c>
      <c r="F258" s="6">
        <v>260.68</v>
      </c>
      <c r="G258" s="6">
        <v>224507.41</v>
      </c>
      <c r="H258" s="6">
        <v>263.36</v>
      </c>
      <c r="I258" s="6">
        <v>224507.41</v>
      </c>
      <c r="J258" s="6">
        <v>263.36</v>
      </c>
      <c r="K258" s="6">
        <v>224507.41</v>
      </c>
      <c r="L258" s="6">
        <v>240.72</v>
      </c>
      <c r="M258" s="6">
        <v>224507.41</v>
      </c>
      <c r="N258" s="6">
        <v>283.45999999999998</v>
      </c>
    </row>
    <row r="259" spans="1:14" x14ac:dyDescent="0.2">
      <c r="A259" s="64" t="s">
        <v>11</v>
      </c>
      <c r="B259" s="64" t="s">
        <v>289</v>
      </c>
      <c r="C259" s="64">
        <v>16</v>
      </c>
      <c r="D259" s="64">
        <v>0.5</v>
      </c>
      <c r="E259" s="6">
        <v>263947.21000000002</v>
      </c>
      <c r="F259" s="6">
        <v>222.54</v>
      </c>
      <c r="G259" s="6">
        <v>261375.87</v>
      </c>
      <c r="H259" s="6">
        <v>191.75</v>
      </c>
      <c r="I259" s="6">
        <v>261375.87</v>
      </c>
      <c r="J259" s="6">
        <v>191.75</v>
      </c>
      <c r="K259" s="6">
        <v>264972.90999999997</v>
      </c>
      <c r="L259" s="6">
        <v>183.02</v>
      </c>
      <c r="M259" s="6">
        <v>261390.69</v>
      </c>
      <c r="N259" s="6">
        <v>239.68</v>
      </c>
    </row>
    <row r="260" spans="1:14" x14ac:dyDescent="0.2">
      <c r="A260" s="64" t="s">
        <v>11</v>
      </c>
      <c r="B260" s="64" t="s">
        <v>289</v>
      </c>
      <c r="C260" s="64">
        <v>18</v>
      </c>
      <c r="D260" s="64">
        <v>0.5</v>
      </c>
      <c r="E260" s="6">
        <v>282139.08</v>
      </c>
      <c r="F260" s="6">
        <v>268.94</v>
      </c>
      <c r="G260" s="6">
        <v>282139.08</v>
      </c>
      <c r="H260" s="6">
        <v>287.16000000000003</v>
      </c>
      <c r="I260" s="6">
        <v>282139.08</v>
      </c>
      <c r="J260" s="6">
        <v>287.16000000000003</v>
      </c>
      <c r="K260" s="6">
        <v>282041.36</v>
      </c>
      <c r="L260" s="6">
        <v>297.45</v>
      </c>
      <c r="M260" s="6">
        <v>282139.08</v>
      </c>
      <c r="N260" s="6">
        <v>320.39</v>
      </c>
    </row>
    <row r="261" spans="1:14" x14ac:dyDescent="0.2">
      <c r="A261" s="64" t="s">
        <v>11</v>
      </c>
      <c r="B261" s="64" t="s">
        <v>289</v>
      </c>
      <c r="C261" s="64">
        <v>20</v>
      </c>
      <c r="D261" s="64">
        <v>0.5</v>
      </c>
      <c r="E261" s="6">
        <v>336529.41</v>
      </c>
      <c r="F261" s="6">
        <v>351.17</v>
      </c>
      <c r="G261" s="6">
        <v>336529.41</v>
      </c>
      <c r="H261" s="6">
        <v>350.43</v>
      </c>
      <c r="I261" s="6">
        <v>336529.41</v>
      </c>
      <c r="J261" s="6">
        <v>350.43</v>
      </c>
      <c r="K261" s="6">
        <v>336890.68</v>
      </c>
      <c r="L261" s="6">
        <v>333.46</v>
      </c>
      <c r="M261" s="6">
        <v>336529.41</v>
      </c>
      <c r="N261" s="6">
        <v>407.3</v>
      </c>
    </row>
    <row r="262" spans="1:14" x14ac:dyDescent="0.2">
      <c r="A262" s="64" t="s">
        <v>11</v>
      </c>
      <c r="B262" s="64" t="s">
        <v>289</v>
      </c>
      <c r="C262" s="64">
        <v>22</v>
      </c>
      <c r="D262" s="64">
        <v>0.5</v>
      </c>
      <c r="E262" s="6">
        <v>376375.03999999998</v>
      </c>
      <c r="F262" s="6">
        <v>295.33</v>
      </c>
      <c r="G262" s="6">
        <v>376375.03999999998</v>
      </c>
      <c r="H262" s="6">
        <v>220.74</v>
      </c>
      <c r="I262" s="6">
        <v>376375.03999999998</v>
      </c>
      <c r="J262" s="6">
        <v>220.74</v>
      </c>
      <c r="K262" s="6">
        <v>376375.03999999998</v>
      </c>
      <c r="L262" s="6">
        <v>272.04000000000002</v>
      </c>
      <c r="M262" s="6">
        <v>376794.97</v>
      </c>
      <c r="N262" s="6">
        <v>316.77999999999997</v>
      </c>
    </row>
    <row r="263" spans="1:14" x14ac:dyDescent="0.2">
      <c r="E263" s="6"/>
      <c r="F263" s="6"/>
      <c r="G263" s="6"/>
      <c r="H263" s="6"/>
      <c r="I263" s="6"/>
      <c r="J263" s="6"/>
      <c r="K263" s="6"/>
      <c r="L263" s="6"/>
      <c r="M263" s="6"/>
      <c r="N263" s="6"/>
    </row>
    <row r="264" spans="1:14" x14ac:dyDescent="0.2">
      <c r="A264" s="64" t="s">
        <v>11</v>
      </c>
      <c r="B264" s="64" t="s">
        <v>289</v>
      </c>
      <c r="C264" s="64">
        <v>4</v>
      </c>
      <c r="D264" s="64">
        <v>0.3</v>
      </c>
      <c r="E264" s="6" t="s">
        <v>15</v>
      </c>
      <c r="F264" s="6">
        <v>15.79</v>
      </c>
      <c r="G264" s="6" t="s">
        <v>15</v>
      </c>
      <c r="H264" s="6">
        <v>16.239999999999998</v>
      </c>
      <c r="I264" s="6" t="s">
        <v>15</v>
      </c>
      <c r="J264" s="6">
        <v>16.239999999999998</v>
      </c>
      <c r="K264" s="6" t="s">
        <v>15</v>
      </c>
      <c r="L264" s="6">
        <v>15.57</v>
      </c>
      <c r="M264" s="6" t="s">
        <v>15</v>
      </c>
      <c r="N264" s="6">
        <v>15.59</v>
      </c>
    </row>
    <row r="265" spans="1:14" x14ac:dyDescent="0.2">
      <c r="A265" s="64" t="s">
        <v>11</v>
      </c>
      <c r="B265" s="64" t="s">
        <v>289</v>
      </c>
      <c r="C265" s="64">
        <v>6</v>
      </c>
      <c r="D265" s="64">
        <v>0.3</v>
      </c>
      <c r="E265" s="6">
        <v>137015.34</v>
      </c>
      <c r="F265" s="6">
        <v>22.62</v>
      </c>
      <c r="G265" s="6">
        <v>137015.34</v>
      </c>
      <c r="H265" s="6">
        <v>22.61</v>
      </c>
      <c r="I265" s="6">
        <v>137015.34</v>
      </c>
      <c r="J265" s="6">
        <v>22.61</v>
      </c>
      <c r="K265" s="6">
        <v>137015.34</v>
      </c>
      <c r="L265" s="6">
        <v>22.75</v>
      </c>
      <c r="M265" s="6">
        <v>137015.34</v>
      </c>
      <c r="N265" s="6">
        <v>22.74</v>
      </c>
    </row>
    <row r="266" spans="1:14" x14ac:dyDescent="0.2">
      <c r="A266" s="64" t="s">
        <v>11</v>
      </c>
      <c r="B266" s="64" t="s">
        <v>289</v>
      </c>
      <c r="C266" s="64">
        <v>8</v>
      </c>
      <c r="D266" s="64">
        <v>0.3</v>
      </c>
      <c r="E266" s="6" t="s">
        <v>15</v>
      </c>
      <c r="F266" s="6">
        <v>31.51</v>
      </c>
      <c r="G266" s="6" t="s">
        <v>15</v>
      </c>
      <c r="H266" s="6">
        <v>47.81</v>
      </c>
      <c r="I266" s="6" t="s">
        <v>15</v>
      </c>
      <c r="J266" s="6">
        <v>47.81</v>
      </c>
      <c r="K266" s="6" t="s">
        <v>15</v>
      </c>
      <c r="L266" s="6">
        <v>42.16</v>
      </c>
      <c r="M266" s="6" t="s">
        <v>15</v>
      </c>
      <c r="N266" s="6">
        <v>37.409999999999997</v>
      </c>
    </row>
    <row r="267" spans="1:14" x14ac:dyDescent="0.2">
      <c r="A267" s="64" t="s">
        <v>11</v>
      </c>
      <c r="B267" s="64" t="s">
        <v>289</v>
      </c>
      <c r="C267" s="64">
        <v>10</v>
      </c>
      <c r="D267" s="64">
        <v>0.3</v>
      </c>
      <c r="E267" s="6">
        <v>263392.45</v>
      </c>
      <c r="F267" s="6">
        <v>169.86</v>
      </c>
      <c r="G267" s="6">
        <v>266491.46999999997</v>
      </c>
      <c r="H267" s="6">
        <v>181.55</v>
      </c>
      <c r="I267" s="6">
        <v>266491.46999999997</v>
      </c>
      <c r="J267" s="6">
        <v>181.55</v>
      </c>
      <c r="K267" s="6">
        <v>263392.45</v>
      </c>
      <c r="L267" s="6">
        <v>217.2</v>
      </c>
      <c r="M267" s="6">
        <v>263392.45</v>
      </c>
      <c r="N267" s="6">
        <v>209.84</v>
      </c>
    </row>
    <row r="268" spans="1:14" x14ac:dyDescent="0.2">
      <c r="A268" s="64" t="s">
        <v>11</v>
      </c>
      <c r="B268" s="64" t="s">
        <v>289</v>
      </c>
      <c r="C268" s="64">
        <v>12</v>
      </c>
      <c r="D268" s="64">
        <v>0.3</v>
      </c>
      <c r="E268" s="6">
        <v>287716.24</v>
      </c>
      <c r="F268" s="6">
        <v>466.56</v>
      </c>
      <c r="G268" s="6">
        <v>296141.18</v>
      </c>
      <c r="H268" s="6">
        <v>565.27</v>
      </c>
      <c r="I268" s="6">
        <v>296141.18</v>
      </c>
      <c r="J268" s="6">
        <v>565.27</v>
      </c>
      <c r="K268" s="6">
        <v>296303.71999999997</v>
      </c>
      <c r="L268" s="6">
        <v>557.25</v>
      </c>
      <c r="M268" s="6">
        <v>287794.46000000002</v>
      </c>
      <c r="N268" s="6">
        <v>416.41</v>
      </c>
    </row>
    <row r="269" spans="1:14" x14ac:dyDescent="0.2">
      <c r="A269" s="64" t="s">
        <v>11</v>
      </c>
      <c r="B269" s="64" t="s">
        <v>289</v>
      </c>
      <c r="C269" s="64">
        <v>14</v>
      </c>
      <c r="D269" s="64">
        <v>0.3</v>
      </c>
      <c r="E269" s="6">
        <v>333550.59000000003</v>
      </c>
      <c r="F269" s="6">
        <v>621.20000000000005</v>
      </c>
      <c r="G269" s="6">
        <v>331060.25</v>
      </c>
      <c r="H269" s="6">
        <v>1622.71</v>
      </c>
      <c r="I269" s="6">
        <v>331060.25</v>
      </c>
      <c r="J269" s="6">
        <v>1622.71</v>
      </c>
      <c r="K269" s="6">
        <v>330504.45</v>
      </c>
      <c r="L269" s="6">
        <v>1469.22</v>
      </c>
      <c r="M269" s="6">
        <v>335772.11</v>
      </c>
      <c r="N269" s="6">
        <v>721.54</v>
      </c>
    </row>
    <row r="270" spans="1:14" x14ac:dyDescent="0.2">
      <c r="A270" s="64" t="s">
        <v>11</v>
      </c>
      <c r="B270" s="64" t="s">
        <v>289</v>
      </c>
      <c r="C270" s="64">
        <v>16</v>
      </c>
      <c r="D270" s="64">
        <v>0.3</v>
      </c>
      <c r="E270" s="6">
        <v>322354.45</v>
      </c>
      <c r="F270" s="6">
        <v>826.37</v>
      </c>
      <c r="G270" s="6">
        <v>321892.21000000002</v>
      </c>
      <c r="H270" s="6">
        <v>1815.28</v>
      </c>
      <c r="I270" s="6">
        <v>321892.21000000002</v>
      </c>
      <c r="J270" s="6">
        <v>1815.28</v>
      </c>
      <c r="K270" s="6">
        <v>321892.21000000002</v>
      </c>
      <c r="L270" s="6">
        <v>1637.13</v>
      </c>
      <c r="M270" s="6">
        <v>321892.21000000002</v>
      </c>
      <c r="N270" s="6">
        <v>949.48</v>
      </c>
    </row>
    <row r="271" spans="1:14" x14ac:dyDescent="0.2">
      <c r="A271" s="64" t="s">
        <v>11</v>
      </c>
      <c r="B271" s="64" t="s">
        <v>289</v>
      </c>
      <c r="C271" s="64">
        <v>18</v>
      </c>
      <c r="D271" s="64">
        <v>0.3</v>
      </c>
      <c r="E271" s="6">
        <v>367469.57</v>
      </c>
      <c r="F271" s="6">
        <v>915.66</v>
      </c>
      <c r="G271" s="6">
        <v>386753.12</v>
      </c>
      <c r="H271" s="6">
        <v>2091.13</v>
      </c>
      <c r="I271" s="6">
        <v>386753.12</v>
      </c>
      <c r="J271" s="6">
        <v>2091.13</v>
      </c>
      <c r="K271" s="6">
        <v>386753.12</v>
      </c>
      <c r="L271" s="6">
        <v>1134.99</v>
      </c>
      <c r="M271" s="6">
        <v>382241.09</v>
      </c>
      <c r="N271" s="6">
        <v>1272.04</v>
      </c>
    </row>
    <row r="272" spans="1:14" x14ac:dyDescent="0.2">
      <c r="A272" s="64" t="s">
        <v>11</v>
      </c>
      <c r="B272" s="64" t="s">
        <v>289</v>
      </c>
      <c r="C272" s="64">
        <v>20</v>
      </c>
      <c r="D272" s="64">
        <v>0.3</v>
      </c>
      <c r="E272" s="6">
        <v>457652.47</v>
      </c>
      <c r="F272" s="6">
        <v>1022.27</v>
      </c>
      <c r="G272" s="6">
        <v>455270.3</v>
      </c>
      <c r="H272" s="6">
        <v>2510.4499999999998</v>
      </c>
      <c r="I272" s="6">
        <v>455270.3</v>
      </c>
      <c r="J272" s="6">
        <v>2510.4499999999998</v>
      </c>
      <c r="K272" s="6">
        <v>456734.74</v>
      </c>
      <c r="L272" s="6">
        <v>760.78</v>
      </c>
      <c r="M272" s="6">
        <v>454475.1</v>
      </c>
      <c r="N272" s="6">
        <v>1604.18</v>
      </c>
    </row>
    <row r="273" spans="1:14" x14ac:dyDescent="0.2">
      <c r="A273" s="64" t="s">
        <v>11</v>
      </c>
      <c r="B273" s="64" t="s">
        <v>289</v>
      </c>
      <c r="C273" s="64">
        <v>22</v>
      </c>
      <c r="D273" s="64">
        <v>0.3</v>
      </c>
      <c r="E273" s="6">
        <v>488964.65</v>
      </c>
      <c r="F273" s="6">
        <v>1195.98</v>
      </c>
      <c r="G273" s="6">
        <v>491184.99</v>
      </c>
      <c r="H273" s="6">
        <v>927.85</v>
      </c>
      <c r="I273" s="6">
        <v>491184.99</v>
      </c>
      <c r="J273" s="6">
        <v>927.85</v>
      </c>
      <c r="K273" s="6">
        <v>491138.62</v>
      </c>
      <c r="L273" s="6">
        <v>1251.4000000000001</v>
      </c>
      <c r="M273" s="6">
        <v>490377.68</v>
      </c>
      <c r="N273" s="6">
        <v>1378.47</v>
      </c>
    </row>
    <row r="274" spans="1:14" x14ac:dyDescent="0.2">
      <c r="A274" s="66"/>
      <c r="B274" s="66"/>
      <c r="C274" s="66"/>
      <c r="D274" s="66"/>
      <c r="E274" s="5"/>
      <c r="F274" s="5"/>
      <c r="G274" s="67"/>
      <c r="H274" s="67"/>
      <c r="I274" s="67"/>
      <c r="J274" s="67"/>
      <c r="K274" s="66"/>
      <c r="L274" s="66"/>
      <c r="M274" s="66"/>
      <c r="N274" s="66"/>
    </row>
    <row r="275" spans="1:14" x14ac:dyDescent="0.2">
      <c r="A275" s="64" t="s">
        <v>12</v>
      </c>
      <c r="B275" s="64" t="s">
        <v>289</v>
      </c>
      <c r="C275" s="64">
        <v>4</v>
      </c>
      <c r="D275" s="64">
        <v>1</v>
      </c>
      <c r="E275" s="6">
        <v>68270.77</v>
      </c>
      <c r="F275" s="6">
        <v>14.93</v>
      </c>
      <c r="G275" s="6">
        <v>68270.77</v>
      </c>
      <c r="H275" s="6">
        <v>14.95</v>
      </c>
      <c r="I275" s="6">
        <v>68270.77</v>
      </c>
      <c r="J275" s="6">
        <v>14.95</v>
      </c>
      <c r="K275" s="6">
        <v>68270.77</v>
      </c>
      <c r="L275" s="6">
        <v>15.09</v>
      </c>
      <c r="M275" s="6">
        <v>68270.77</v>
      </c>
      <c r="N275" s="6">
        <v>15.03</v>
      </c>
    </row>
    <row r="276" spans="1:14" x14ac:dyDescent="0.2">
      <c r="A276" s="64" t="s">
        <v>12</v>
      </c>
      <c r="B276" s="64" t="s">
        <v>289</v>
      </c>
      <c r="C276" s="64">
        <v>6</v>
      </c>
      <c r="D276" s="64">
        <v>1</v>
      </c>
      <c r="E276" s="6">
        <v>84664.8</v>
      </c>
      <c r="F276" s="6">
        <v>21.42</v>
      </c>
      <c r="G276" s="6">
        <v>84664.8</v>
      </c>
      <c r="H276" s="6">
        <v>21.5</v>
      </c>
      <c r="I276" s="6">
        <v>84664.8</v>
      </c>
      <c r="J276" s="6">
        <v>21.5</v>
      </c>
      <c r="K276" s="6">
        <v>84664.8</v>
      </c>
      <c r="L276" s="6">
        <v>22.03</v>
      </c>
      <c r="M276" s="6">
        <v>84664.8</v>
      </c>
      <c r="N276" s="6">
        <v>21.57</v>
      </c>
    </row>
    <row r="277" spans="1:14" x14ac:dyDescent="0.2">
      <c r="A277" s="64" t="s">
        <v>12</v>
      </c>
      <c r="B277" s="64" t="s">
        <v>289</v>
      </c>
      <c r="C277" s="64">
        <v>8</v>
      </c>
      <c r="D277" s="64">
        <v>1</v>
      </c>
      <c r="E277" s="6">
        <v>134054.82999999999</v>
      </c>
      <c r="F277" s="6">
        <v>27.98</v>
      </c>
      <c r="G277" s="6">
        <v>134054.82999999999</v>
      </c>
      <c r="H277" s="6">
        <v>27.2</v>
      </c>
      <c r="I277" s="6">
        <v>134054.82999999999</v>
      </c>
      <c r="J277" s="6">
        <v>27.2</v>
      </c>
      <c r="K277" s="6">
        <v>134054.82999999999</v>
      </c>
      <c r="L277" s="6">
        <v>27.53</v>
      </c>
      <c r="M277" s="6">
        <v>134054.82999999999</v>
      </c>
      <c r="N277" s="6">
        <v>28.87</v>
      </c>
    </row>
    <row r="278" spans="1:14" x14ac:dyDescent="0.2">
      <c r="A278" s="64" t="s">
        <v>12</v>
      </c>
      <c r="B278" s="64" t="s">
        <v>289</v>
      </c>
      <c r="C278" s="64">
        <v>10</v>
      </c>
      <c r="D278" s="64">
        <v>1</v>
      </c>
      <c r="E278" s="6">
        <v>163137.12</v>
      </c>
      <c r="F278" s="6">
        <v>36.43</v>
      </c>
      <c r="G278" s="6">
        <v>163137.12</v>
      </c>
      <c r="H278" s="6">
        <v>34.69</v>
      </c>
      <c r="I278" s="6">
        <v>163137.12</v>
      </c>
      <c r="J278" s="6">
        <v>34.69</v>
      </c>
      <c r="K278" s="6">
        <v>163137.12</v>
      </c>
      <c r="L278" s="6">
        <v>37.81</v>
      </c>
      <c r="M278" s="6">
        <v>163137.12</v>
      </c>
      <c r="N278" s="6">
        <v>35.700000000000003</v>
      </c>
    </row>
    <row r="279" spans="1:14" x14ac:dyDescent="0.2">
      <c r="A279" s="64" t="s">
        <v>12</v>
      </c>
      <c r="B279" s="64" t="s">
        <v>289</v>
      </c>
      <c r="C279" s="64">
        <v>12</v>
      </c>
      <c r="D279" s="64">
        <v>1</v>
      </c>
      <c r="E279" s="6">
        <v>177075.29</v>
      </c>
      <c r="F279" s="6">
        <v>48.53</v>
      </c>
      <c r="G279" s="6">
        <v>177075.29</v>
      </c>
      <c r="H279" s="6">
        <v>43.05</v>
      </c>
      <c r="I279" s="6">
        <v>177075.29</v>
      </c>
      <c r="J279" s="6">
        <v>43.05</v>
      </c>
      <c r="K279" s="6">
        <v>177075.29</v>
      </c>
      <c r="L279" s="6">
        <v>43.84</v>
      </c>
      <c r="M279" s="6">
        <v>177075.29</v>
      </c>
      <c r="N279" s="6">
        <v>42.97</v>
      </c>
    </row>
    <row r="280" spans="1:14" x14ac:dyDescent="0.2">
      <c r="A280" s="64" t="s">
        <v>12</v>
      </c>
      <c r="B280" s="64" t="s">
        <v>289</v>
      </c>
      <c r="C280" s="64">
        <v>14</v>
      </c>
      <c r="D280" s="64">
        <v>1</v>
      </c>
      <c r="E280" s="6">
        <v>185746.72</v>
      </c>
      <c r="F280" s="6">
        <v>66.05</v>
      </c>
      <c r="G280" s="6">
        <v>185746.72</v>
      </c>
      <c r="H280" s="6">
        <v>64.44</v>
      </c>
      <c r="I280" s="6">
        <v>185746.72</v>
      </c>
      <c r="J280" s="6">
        <v>64.44</v>
      </c>
      <c r="K280" s="6">
        <v>185746.72</v>
      </c>
      <c r="L280" s="6">
        <v>66.2</v>
      </c>
      <c r="M280" s="6">
        <v>185746.72</v>
      </c>
      <c r="N280" s="6">
        <v>63.54</v>
      </c>
    </row>
    <row r="281" spans="1:14" x14ac:dyDescent="0.2">
      <c r="A281" s="64" t="s">
        <v>12</v>
      </c>
      <c r="B281" s="64" t="s">
        <v>289</v>
      </c>
      <c r="C281" s="64">
        <v>16</v>
      </c>
      <c r="D281" s="64">
        <v>1</v>
      </c>
      <c r="E281" s="6">
        <v>223866.96</v>
      </c>
      <c r="F281" s="6">
        <v>71.62</v>
      </c>
      <c r="G281" s="6">
        <v>223866.96</v>
      </c>
      <c r="H281" s="6">
        <v>67.86</v>
      </c>
      <c r="I281" s="6">
        <v>223866.96</v>
      </c>
      <c r="J281" s="6">
        <v>67.86</v>
      </c>
      <c r="K281" s="6">
        <v>223866.96</v>
      </c>
      <c r="L281" s="6">
        <v>66.45</v>
      </c>
      <c r="M281" s="6">
        <v>223866.96</v>
      </c>
      <c r="N281" s="6">
        <v>89.88</v>
      </c>
    </row>
    <row r="282" spans="1:14" x14ac:dyDescent="0.2">
      <c r="A282" s="64" t="s">
        <v>12</v>
      </c>
      <c r="B282" s="64" t="s">
        <v>289</v>
      </c>
      <c r="C282" s="64">
        <v>18</v>
      </c>
      <c r="D282" s="64">
        <v>1</v>
      </c>
      <c r="E282" s="6">
        <v>234327.55</v>
      </c>
      <c r="F282" s="6">
        <v>91.24</v>
      </c>
      <c r="G282" s="6">
        <v>234327.55</v>
      </c>
      <c r="H282" s="6">
        <v>106.6</v>
      </c>
      <c r="I282" s="6">
        <v>234327.55</v>
      </c>
      <c r="J282" s="6">
        <v>106.6</v>
      </c>
      <c r="K282" s="6">
        <v>234327.55</v>
      </c>
      <c r="L282" s="6">
        <v>84.09</v>
      </c>
      <c r="M282" s="6">
        <v>237758.3</v>
      </c>
      <c r="N282" s="6">
        <v>83.42</v>
      </c>
    </row>
    <row r="283" spans="1:14" x14ac:dyDescent="0.2">
      <c r="A283" s="64" t="s">
        <v>12</v>
      </c>
      <c r="B283" s="64" t="s">
        <v>289</v>
      </c>
      <c r="C283" s="64">
        <v>20</v>
      </c>
      <c r="D283" s="64">
        <v>1</v>
      </c>
      <c r="E283" s="6">
        <v>266831.71999999997</v>
      </c>
      <c r="F283" s="6">
        <v>100.68</v>
      </c>
      <c r="G283" s="6">
        <v>266831.71999999997</v>
      </c>
      <c r="H283" s="6">
        <v>94.68</v>
      </c>
      <c r="I283" s="6">
        <v>266831.71999999997</v>
      </c>
      <c r="J283" s="6">
        <v>94.68</v>
      </c>
      <c r="K283" s="6">
        <v>266831.71999999997</v>
      </c>
      <c r="L283" s="6">
        <v>85.71</v>
      </c>
      <c r="M283" s="6">
        <v>266831.71999999997</v>
      </c>
      <c r="N283" s="6">
        <v>99.05</v>
      </c>
    </row>
    <row r="284" spans="1:14" x14ac:dyDescent="0.2">
      <c r="A284" s="64" t="s">
        <v>12</v>
      </c>
      <c r="B284" s="64" t="s">
        <v>289</v>
      </c>
      <c r="C284" s="64">
        <v>22</v>
      </c>
      <c r="D284" s="64">
        <v>1</v>
      </c>
      <c r="E284" s="6">
        <v>290137.15000000002</v>
      </c>
      <c r="F284" s="6">
        <v>120.2</v>
      </c>
      <c r="G284" s="6">
        <v>290137.15000000002</v>
      </c>
      <c r="H284" s="6">
        <v>101.13</v>
      </c>
      <c r="I284" s="6">
        <v>290137.15000000002</v>
      </c>
      <c r="J284" s="6">
        <v>101.13</v>
      </c>
      <c r="K284" s="6">
        <v>290137.15000000002</v>
      </c>
      <c r="L284" s="6">
        <v>84.98</v>
      </c>
      <c r="M284" s="6">
        <v>290137.15000000002</v>
      </c>
      <c r="N284" s="6">
        <v>117.49</v>
      </c>
    </row>
    <row r="285" spans="1:14" x14ac:dyDescent="0.2">
      <c r="A285" s="64"/>
      <c r="B285" s="64"/>
      <c r="C285" s="64"/>
      <c r="D285" s="64"/>
      <c r="E285" s="6">
        <f>G279*1.2</f>
        <v>212490.348</v>
      </c>
      <c r="F285" s="6"/>
      <c r="G285" s="6"/>
      <c r="H285" s="6"/>
      <c r="I285" s="6"/>
      <c r="J285" s="6"/>
      <c r="K285" s="6"/>
      <c r="L285" s="6"/>
      <c r="M285" s="6"/>
      <c r="N285" s="6"/>
    </row>
    <row r="286" spans="1:14" x14ac:dyDescent="0.2">
      <c r="A286" s="64" t="s">
        <v>12</v>
      </c>
      <c r="B286" s="64" t="s">
        <v>289</v>
      </c>
      <c r="C286" s="64">
        <v>4</v>
      </c>
      <c r="D286" s="64">
        <v>0.5</v>
      </c>
      <c r="E286" s="6">
        <v>87769.85</v>
      </c>
      <c r="F286" s="6">
        <v>18.47</v>
      </c>
      <c r="G286" s="6">
        <v>87769.85</v>
      </c>
      <c r="H286" s="6">
        <v>17.809999999999999</v>
      </c>
      <c r="I286" s="6">
        <v>87769.85</v>
      </c>
      <c r="J286" s="6">
        <v>17.809999999999999</v>
      </c>
      <c r="K286" s="6">
        <v>87769.85</v>
      </c>
      <c r="L286" s="6">
        <v>17.41</v>
      </c>
      <c r="M286" s="6">
        <v>87769.85</v>
      </c>
      <c r="N286" s="6">
        <v>16.34</v>
      </c>
    </row>
    <row r="287" spans="1:14" x14ac:dyDescent="0.2">
      <c r="A287" s="64" t="s">
        <v>12</v>
      </c>
      <c r="B287" s="64" t="s">
        <v>289</v>
      </c>
      <c r="C287" s="64">
        <v>6</v>
      </c>
      <c r="D287" s="64">
        <v>0.5</v>
      </c>
      <c r="E287" s="6">
        <v>104067.18</v>
      </c>
      <c r="F287" s="6">
        <v>21.53</v>
      </c>
      <c r="G287" s="6">
        <v>104067.18</v>
      </c>
      <c r="H287" s="6">
        <v>21.63</v>
      </c>
      <c r="I287" s="6">
        <v>104067.18</v>
      </c>
      <c r="J287" s="6">
        <v>21.63</v>
      </c>
      <c r="K287" s="6">
        <v>104067.18</v>
      </c>
      <c r="L287" s="6">
        <v>21.91</v>
      </c>
      <c r="M287" s="6">
        <v>104067.18</v>
      </c>
      <c r="N287" s="6">
        <v>21.68</v>
      </c>
    </row>
    <row r="288" spans="1:14" x14ac:dyDescent="0.2">
      <c r="A288" s="64" t="s">
        <v>12</v>
      </c>
      <c r="B288" s="64" t="s">
        <v>289</v>
      </c>
      <c r="C288" s="64">
        <v>8</v>
      </c>
      <c r="D288" s="64">
        <v>0.5</v>
      </c>
      <c r="E288" s="6">
        <v>179305.03</v>
      </c>
      <c r="F288" s="6">
        <v>35.68</v>
      </c>
      <c r="G288" s="6">
        <v>179305.03</v>
      </c>
      <c r="H288" s="6">
        <v>34.4</v>
      </c>
      <c r="I288" s="6">
        <v>179305.03</v>
      </c>
      <c r="J288" s="6">
        <v>34.4</v>
      </c>
      <c r="K288" s="6">
        <v>179305.03</v>
      </c>
      <c r="L288" s="6">
        <v>34.74</v>
      </c>
      <c r="M288" s="6">
        <v>179305.03</v>
      </c>
      <c r="N288" s="6">
        <v>33.79</v>
      </c>
    </row>
    <row r="289" spans="1:14" x14ac:dyDescent="0.2">
      <c r="A289" s="64" t="s">
        <v>12</v>
      </c>
      <c r="B289" s="64" t="s">
        <v>289</v>
      </c>
      <c r="C289" s="64">
        <v>10</v>
      </c>
      <c r="D289" s="64">
        <v>0.5</v>
      </c>
      <c r="E289" s="6">
        <v>222057.89</v>
      </c>
      <c r="F289" s="6">
        <v>42.78</v>
      </c>
      <c r="G289" s="6">
        <v>222687.23</v>
      </c>
      <c r="H289" s="6">
        <v>42.31</v>
      </c>
      <c r="I289" s="6">
        <v>222687.23</v>
      </c>
      <c r="J289" s="6">
        <v>42.31</v>
      </c>
      <c r="K289" s="6">
        <v>222057.89</v>
      </c>
      <c r="L289" s="6">
        <v>45.17</v>
      </c>
      <c r="M289" s="6">
        <v>222057.89</v>
      </c>
      <c r="N289" s="6">
        <v>46.14</v>
      </c>
    </row>
    <row r="290" spans="1:14" x14ac:dyDescent="0.2">
      <c r="A290" s="64" t="s">
        <v>12</v>
      </c>
      <c r="B290" s="64" t="s">
        <v>289</v>
      </c>
      <c r="C290" s="64">
        <v>12</v>
      </c>
      <c r="D290" s="64">
        <v>0.5</v>
      </c>
      <c r="E290" s="6">
        <v>246711.32</v>
      </c>
      <c r="F290" s="6">
        <v>57.51</v>
      </c>
      <c r="G290" s="6">
        <v>246711.32</v>
      </c>
      <c r="H290" s="6">
        <v>58.17</v>
      </c>
      <c r="I290" s="6">
        <v>246711.32</v>
      </c>
      <c r="J290" s="6">
        <v>58.17</v>
      </c>
      <c r="K290" s="6">
        <v>246711.32</v>
      </c>
      <c r="L290" s="6">
        <v>58.03</v>
      </c>
      <c r="M290" s="6">
        <v>246711.32</v>
      </c>
      <c r="N290" s="6">
        <v>63.45</v>
      </c>
    </row>
    <row r="291" spans="1:14" x14ac:dyDescent="0.2">
      <c r="A291" s="64" t="s">
        <v>12</v>
      </c>
      <c r="B291" s="64" t="s">
        <v>289</v>
      </c>
      <c r="C291" s="64">
        <v>14</v>
      </c>
      <c r="D291" s="64">
        <v>0.5</v>
      </c>
      <c r="E291" s="6">
        <v>248777.81</v>
      </c>
      <c r="F291" s="6">
        <v>182.7</v>
      </c>
      <c r="G291" s="6">
        <v>248777.81</v>
      </c>
      <c r="H291" s="6">
        <v>178.08</v>
      </c>
      <c r="I291" s="6">
        <v>248777.81</v>
      </c>
      <c r="J291" s="6">
        <v>178.08</v>
      </c>
      <c r="K291" s="6">
        <v>248072.4</v>
      </c>
      <c r="L291" s="6">
        <v>187.54</v>
      </c>
      <c r="M291" s="6">
        <v>246223.9</v>
      </c>
      <c r="N291" s="6">
        <v>316.14999999999998</v>
      </c>
    </row>
    <row r="292" spans="1:14" x14ac:dyDescent="0.2">
      <c r="A292" s="64" t="s">
        <v>12</v>
      </c>
      <c r="B292" s="64" t="s">
        <v>289</v>
      </c>
      <c r="C292" s="64">
        <v>16</v>
      </c>
      <c r="D292" s="64">
        <v>0.5</v>
      </c>
      <c r="E292" s="6">
        <v>296097.5</v>
      </c>
      <c r="F292" s="6">
        <v>304.2</v>
      </c>
      <c r="G292" s="6">
        <v>296097.5</v>
      </c>
      <c r="H292" s="6">
        <v>255.56</v>
      </c>
      <c r="I292" s="6">
        <v>296097.5</v>
      </c>
      <c r="J292" s="6">
        <v>255.56</v>
      </c>
      <c r="K292" s="6">
        <v>297345.84999999998</v>
      </c>
      <c r="L292" s="6">
        <v>306.08999999999997</v>
      </c>
      <c r="M292" s="6">
        <v>296097.5</v>
      </c>
      <c r="N292" s="6">
        <v>334.58</v>
      </c>
    </row>
    <row r="293" spans="1:14" x14ac:dyDescent="0.2">
      <c r="A293" s="64" t="s">
        <v>12</v>
      </c>
      <c r="B293" s="64" t="s">
        <v>289</v>
      </c>
      <c r="C293" s="64">
        <v>18</v>
      </c>
      <c r="D293" s="64">
        <v>0.5</v>
      </c>
      <c r="E293" s="6">
        <v>325165.87</v>
      </c>
      <c r="F293" s="6">
        <v>257.85000000000002</v>
      </c>
      <c r="G293" s="6">
        <v>318065.65999999997</v>
      </c>
      <c r="H293" s="6">
        <v>358.15</v>
      </c>
      <c r="I293" s="6">
        <v>318065.65999999997</v>
      </c>
      <c r="J293" s="6">
        <v>358.15</v>
      </c>
      <c r="K293" s="6">
        <v>321436.13</v>
      </c>
      <c r="L293" s="6">
        <v>236.74</v>
      </c>
      <c r="M293" s="6">
        <v>322181.21000000002</v>
      </c>
      <c r="N293" s="6">
        <v>393.01</v>
      </c>
    </row>
    <row r="294" spans="1:14" x14ac:dyDescent="0.2">
      <c r="A294" s="64" t="s">
        <v>12</v>
      </c>
      <c r="B294" s="64" t="s">
        <v>289</v>
      </c>
      <c r="C294" s="64">
        <v>20</v>
      </c>
      <c r="D294" s="64">
        <v>0.5</v>
      </c>
      <c r="E294" s="6">
        <v>348366.71</v>
      </c>
      <c r="F294" s="6">
        <v>248.47</v>
      </c>
      <c r="G294" s="6">
        <v>348366.71</v>
      </c>
      <c r="H294" s="6">
        <v>270.66000000000003</v>
      </c>
      <c r="I294" s="6">
        <v>348366.71</v>
      </c>
      <c r="J294" s="6">
        <v>270.66000000000003</v>
      </c>
      <c r="K294" s="6">
        <v>354027.98</v>
      </c>
      <c r="L294" s="6">
        <v>229.06</v>
      </c>
      <c r="M294" s="6">
        <v>349207.11</v>
      </c>
      <c r="N294" s="6">
        <v>286.3</v>
      </c>
    </row>
    <row r="295" spans="1:14" x14ac:dyDescent="0.2">
      <c r="A295" s="64" t="s">
        <v>12</v>
      </c>
      <c r="B295" s="64" t="s">
        <v>289</v>
      </c>
      <c r="C295" s="64">
        <v>22</v>
      </c>
      <c r="D295" s="64">
        <v>0.5</v>
      </c>
      <c r="E295" s="6">
        <v>377952.79</v>
      </c>
      <c r="F295" s="6">
        <v>270.51</v>
      </c>
      <c r="G295" s="6">
        <v>377532.86</v>
      </c>
      <c r="H295" s="6">
        <v>240.2</v>
      </c>
      <c r="I295" s="6">
        <v>377532.86</v>
      </c>
      <c r="J295" s="6">
        <v>240.2</v>
      </c>
      <c r="K295" s="6">
        <v>377532.86</v>
      </c>
      <c r="L295" s="6">
        <v>300.08</v>
      </c>
      <c r="M295" s="6">
        <v>377532.86</v>
      </c>
      <c r="N295" s="6">
        <v>281.63</v>
      </c>
    </row>
    <row r="296" spans="1:14" x14ac:dyDescent="0.2">
      <c r="E296" s="6"/>
      <c r="F296" s="6"/>
      <c r="G296" s="6"/>
      <c r="H296" s="6"/>
      <c r="I296" s="6"/>
      <c r="J296" s="6"/>
      <c r="K296" s="6"/>
      <c r="L296" s="6"/>
      <c r="M296" s="6"/>
      <c r="N296" s="6"/>
    </row>
    <row r="297" spans="1:14" x14ac:dyDescent="0.2">
      <c r="A297" s="64" t="s">
        <v>12</v>
      </c>
      <c r="B297" s="64" t="s">
        <v>289</v>
      </c>
      <c r="C297" s="64">
        <v>4</v>
      </c>
      <c r="D297" s="64">
        <v>0.3</v>
      </c>
      <c r="E297" s="6">
        <v>140941.12</v>
      </c>
      <c r="F297" s="6">
        <v>17.53</v>
      </c>
      <c r="G297" s="6">
        <v>140941.12</v>
      </c>
      <c r="H297" s="6">
        <v>18.559999999999999</v>
      </c>
      <c r="I297" s="6">
        <v>140941.12</v>
      </c>
      <c r="J297" s="6">
        <v>18.559999999999999</v>
      </c>
      <c r="K297" s="6">
        <v>140941.12</v>
      </c>
      <c r="L297" s="6">
        <v>17.649999999999999</v>
      </c>
      <c r="M297" s="6">
        <v>143310.54999999999</v>
      </c>
      <c r="N297" s="6">
        <v>17.8</v>
      </c>
    </row>
    <row r="298" spans="1:14" x14ac:dyDescent="0.2">
      <c r="A298" s="64" t="s">
        <v>12</v>
      </c>
      <c r="B298" s="64" t="s">
        <v>289</v>
      </c>
      <c r="C298" s="64">
        <v>6</v>
      </c>
      <c r="D298" s="64">
        <v>0.3</v>
      </c>
      <c r="E298" s="6">
        <v>125962.47</v>
      </c>
      <c r="F298" s="6">
        <v>22.55</v>
      </c>
      <c r="G298" s="6">
        <v>125962.47</v>
      </c>
      <c r="H298" s="6">
        <v>22.62</v>
      </c>
      <c r="I298" s="6">
        <v>125962.47</v>
      </c>
      <c r="J298" s="6">
        <v>22.62</v>
      </c>
      <c r="K298" s="6">
        <v>125962.47</v>
      </c>
      <c r="L298" s="6">
        <v>22.84</v>
      </c>
      <c r="M298" s="6">
        <v>125962.47</v>
      </c>
      <c r="N298" s="6">
        <v>22.75</v>
      </c>
    </row>
    <row r="299" spans="1:14" x14ac:dyDescent="0.2">
      <c r="A299" s="64" t="s">
        <v>12</v>
      </c>
      <c r="B299" s="64" t="s">
        <v>289</v>
      </c>
      <c r="C299" s="64">
        <v>8</v>
      </c>
      <c r="D299" s="64">
        <v>0.3</v>
      </c>
      <c r="E299" s="6" t="s">
        <v>15</v>
      </c>
      <c r="F299" s="6">
        <v>44.83</v>
      </c>
      <c r="G299" s="6" t="s">
        <v>15</v>
      </c>
      <c r="H299" s="6">
        <v>41.14</v>
      </c>
      <c r="I299" s="6" t="s">
        <v>15</v>
      </c>
      <c r="J299" s="6">
        <v>41.14</v>
      </c>
      <c r="K299" s="6">
        <v>255647.47</v>
      </c>
      <c r="L299" s="6">
        <v>53.78</v>
      </c>
      <c r="M299" s="6" t="s">
        <v>16</v>
      </c>
      <c r="N299" s="6">
        <v>45.14</v>
      </c>
    </row>
    <row r="300" spans="1:14" x14ac:dyDescent="0.2">
      <c r="A300" s="64" t="s">
        <v>12</v>
      </c>
      <c r="B300" s="64" t="s">
        <v>289</v>
      </c>
      <c r="C300" s="64">
        <v>10</v>
      </c>
      <c r="D300" s="64">
        <v>0.3</v>
      </c>
      <c r="E300" s="6">
        <v>256765.4</v>
      </c>
      <c r="F300" s="6">
        <v>72.2</v>
      </c>
      <c r="G300" s="6">
        <v>256765.4</v>
      </c>
      <c r="H300" s="6">
        <v>71.41</v>
      </c>
      <c r="I300" s="6">
        <v>256765.4</v>
      </c>
      <c r="J300" s="6">
        <v>71.41</v>
      </c>
      <c r="K300" s="6">
        <v>256765.4</v>
      </c>
      <c r="L300" s="6">
        <v>78.319999999999993</v>
      </c>
      <c r="M300" s="6">
        <v>256765.4</v>
      </c>
      <c r="N300" s="6">
        <v>80.3</v>
      </c>
    </row>
    <row r="301" spans="1:14" x14ac:dyDescent="0.2">
      <c r="A301" s="64" t="s">
        <v>12</v>
      </c>
      <c r="B301" s="64" t="s">
        <v>289</v>
      </c>
      <c r="C301" s="64">
        <v>12</v>
      </c>
      <c r="D301" s="64">
        <v>0.3</v>
      </c>
      <c r="E301" s="6" t="s">
        <v>15</v>
      </c>
      <c r="F301" s="6">
        <v>54.61</v>
      </c>
      <c r="G301" s="6" t="s">
        <v>15</v>
      </c>
      <c r="H301" s="6">
        <v>61.43</v>
      </c>
      <c r="I301" s="6" t="s">
        <v>15</v>
      </c>
      <c r="J301" s="6">
        <v>61.43</v>
      </c>
      <c r="K301" s="6" t="s">
        <v>15</v>
      </c>
      <c r="L301" s="6">
        <v>66.650000000000006</v>
      </c>
      <c r="M301" s="6">
        <v>359320.12</v>
      </c>
      <c r="N301" s="6">
        <v>79.12</v>
      </c>
    </row>
    <row r="302" spans="1:14" x14ac:dyDescent="0.2">
      <c r="A302" s="64" t="s">
        <v>12</v>
      </c>
      <c r="B302" s="64" t="s">
        <v>289</v>
      </c>
      <c r="C302" s="64">
        <v>14</v>
      </c>
      <c r="D302" s="64">
        <v>0.3</v>
      </c>
      <c r="E302" s="6">
        <v>333807.17</v>
      </c>
      <c r="F302" s="6">
        <v>489.95</v>
      </c>
      <c r="G302" s="6">
        <v>333807.17</v>
      </c>
      <c r="H302" s="6">
        <v>315.79000000000002</v>
      </c>
      <c r="I302" s="6">
        <v>333807.17</v>
      </c>
      <c r="J302" s="6">
        <v>315.79000000000002</v>
      </c>
      <c r="K302" s="6">
        <v>333807.17</v>
      </c>
      <c r="L302" s="6">
        <v>403.23</v>
      </c>
      <c r="M302" s="6">
        <v>334122.11</v>
      </c>
      <c r="N302" s="6">
        <v>484.73</v>
      </c>
    </row>
    <row r="303" spans="1:14" x14ac:dyDescent="0.2">
      <c r="A303" s="64" t="s">
        <v>12</v>
      </c>
      <c r="B303" s="64" t="s">
        <v>289</v>
      </c>
      <c r="C303" s="64">
        <v>16</v>
      </c>
      <c r="D303" s="64">
        <v>0.3</v>
      </c>
      <c r="E303" s="6">
        <v>423226.34</v>
      </c>
      <c r="F303" s="6">
        <v>537.59</v>
      </c>
      <c r="G303" s="6">
        <v>424561.13</v>
      </c>
      <c r="H303" s="6">
        <v>428.4</v>
      </c>
      <c r="I303" s="6">
        <v>424561.13</v>
      </c>
      <c r="J303" s="6">
        <v>428.4</v>
      </c>
      <c r="K303" s="6">
        <v>428713.78</v>
      </c>
      <c r="L303" s="6">
        <v>411.61</v>
      </c>
      <c r="M303" s="6">
        <v>425521.89</v>
      </c>
      <c r="N303" s="6">
        <v>489.55</v>
      </c>
    </row>
    <row r="304" spans="1:14" x14ac:dyDescent="0.2">
      <c r="A304" s="64" t="s">
        <v>12</v>
      </c>
      <c r="B304" s="64" t="s">
        <v>289</v>
      </c>
      <c r="C304" s="64">
        <v>18</v>
      </c>
      <c r="D304" s="64">
        <v>0.3</v>
      </c>
      <c r="E304" s="6">
        <v>435820.44</v>
      </c>
      <c r="F304" s="6">
        <v>730.9</v>
      </c>
      <c r="G304" s="6">
        <v>434043.14</v>
      </c>
      <c r="H304" s="6">
        <v>788.75</v>
      </c>
      <c r="I304" s="6">
        <v>434043.14</v>
      </c>
      <c r="J304" s="6">
        <v>788.75</v>
      </c>
      <c r="K304" s="6">
        <v>432475.62</v>
      </c>
      <c r="L304" s="6">
        <v>727.15</v>
      </c>
      <c r="M304" s="6">
        <v>432475.62</v>
      </c>
      <c r="N304" s="6">
        <v>875.55</v>
      </c>
    </row>
    <row r="305" spans="1:14" x14ac:dyDescent="0.2">
      <c r="A305" s="64" t="s">
        <v>12</v>
      </c>
      <c r="B305" s="64" t="s">
        <v>289</v>
      </c>
      <c r="C305" s="64">
        <v>20</v>
      </c>
      <c r="D305" s="64">
        <v>0.3</v>
      </c>
      <c r="E305" s="6">
        <v>471399.87</v>
      </c>
      <c r="F305" s="6">
        <v>1279.95</v>
      </c>
      <c r="G305" s="6">
        <v>471399.87</v>
      </c>
      <c r="H305" s="6">
        <v>822.66</v>
      </c>
      <c r="I305" s="6">
        <v>471399.87</v>
      </c>
      <c r="J305" s="6">
        <v>822.66</v>
      </c>
      <c r="K305" s="6">
        <v>471399.87</v>
      </c>
      <c r="L305" s="6">
        <v>788.32</v>
      </c>
      <c r="M305" s="6">
        <v>470999.79</v>
      </c>
      <c r="N305" s="6">
        <v>1512.14</v>
      </c>
    </row>
    <row r="306" spans="1:14" x14ac:dyDescent="0.2">
      <c r="A306" s="64" t="s">
        <v>12</v>
      </c>
      <c r="B306" s="64" t="s">
        <v>289</v>
      </c>
      <c r="C306" s="64">
        <v>22</v>
      </c>
      <c r="D306" s="64">
        <v>0.3</v>
      </c>
      <c r="E306" s="6">
        <v>492492.29</v>
      </c>
      <c r="F306" s="6">
        <v>1044.48</v>
      </c>
      <c r="G306" s="6">
        <v>491436.38</v>
      </c>
      <c r="H306" s="6">
        <v>1450.86</v>
      </c>
      <c r="I306" s="6">
        <v>491436.38</v>
      </c>
      <c r="J306" s="6">
        <v>1450.86</v>
      </c>
      <c r="K306" s="6">
        <v>493044.54</v>
      </c>
      <c r="L306" s="6">
        <v>1068.03</v>
      </c>
      <c r="M306" s="6">
        <v>493044.54</v>
      </c>
      <c r="N306" s="6">
        <v>1793.74</v>
      </c>
    </row>
    <row r="307" spans="1:14" x14ac:dyDescent="0.2">
      <c r="A307" s="66"/>
      <c r="B307" s="66"/>
      <c r="C307" s="66"/>
      <c r="D307" s="66"/>
      <c r="E307" s="5"/>
      <c r="F307" s="5"/>
      <c r="G307" s="67"/>
      <c r="H307" s="67"/>
      <c r="I307" s="67"/>
      <c r="J307" s="67"/>
      <c r="K307" s="66"/>
      <c r="L307" s="66"/>
      <c r="M307" s="67"/>
      <c r="N307" s="67"/>
    </row>
    <row r="308" spans="1:14" x14ac:dyDescent="0.2">
      <c r="A308" s="64" t="s">
        <v>13</v>
      </c>
      <c r="B308" s="64" t="s">
        <v>289</v>
      </c>
      <c r="C308" s="64">
        <v>4</v>
      </c>
      <c r="D308" s="64">
        <v>1</v>
      </c>
      <c r="E308" s="6">
        <v>75693.72</v>
      </c>
      <c r="F308" s="6">
        <v>14.76</v>
      </c>
      <c r="G308" s="6">
        <v>75693.72</v>
      </c>
      <c r="H308" s="6">
        <v>14.79</v>
      </c>
      <c r="I308" s="6">
        <v>75693.72</v>
      </c>
      <c r="J308" s="6">
        <v>14.79</v>
      </c>
      <c r="K308" s="6">
        <v>75693.72</v>
      </c>
      <c r="L308" s="6">
        <v>15.35</v>
      </c>
      <c r="M308" s="6">
        <v>75693.72</v>
      </c>
      <c r="N308" s="6">
        <v>14.85</v>
      </c>
    </row>
    <row r="309" spans="1:14" x14ac:dyDescent="0.2">
      <c r="A309" s="64" t="s">
        <v>13</v>
      </c>
      <c r="B309" s="64" t="s">
        <v>289</v>
      </c>
      <c r="C309" s="64">
        <v>6</v>
      </c>
      <c r="D309" s="64">
        <v>1</v>
      </c>
      <c r="E309" s="6">
        <v>116220.38</v>
      </c>
      <c r="F309" s="6">
        <v>21.31</v>
      </c>
      <c r="G309" s="6">
        <v>116220.38</v>
      </c>
      <c r="H309" s="6">
        <v>22.12</v>
      </c>
      <c r="I309" s="6">
        <v>116220.38</v>
      </c>
      <c r="J309" s="6">
        <v>22.12</v>
      </c>
      <c r="K309" s="6">
        <v>116220.38</v>
      </c>
      <c r="L309" s="6">
        <v>21.14</v>
      </c>
      <c r="M309" s="6">
        <v>116220.38</v>
      </c>
      <c r="N309" s="6">
        <v>20.96</v>
      </c>
    </row>
    <row r="310" spans="1:14" x14ac:dyDescent="0.2">
      <c r="A310" s="64" t="s">
        <v>13</v>
      </c>
      <c r="B310" s="64" t="s">
        <v>289</v>
      </c>
      <c r="C310" s="64">
        <v>8</v>
      </c>
      <c r="D310" s="64">
        <v>1</v>
      </c>
      <c r="E310" s="6">
        <v>148248.37</v>
      </c>
      <c r="F310" s="6">
        <v>36.69</v>
      </c>
      <c r="G310" s="6">
        <v>148248.37</v>
      </c>
      <c r="H310" s="6">
        <v>32.159999999999997</v>
      </c>
      <c r="I310" s="6">
        <v>148248.37</v>
      </c>
      <c r="J310" s="6">
        <v>32.159999999999997</v>
      </c>
      <c r="K310" s="6">
        <v>148248.37</v>
      </c>
      <c r="L310" s="6">
        <v>33.04</v>
      </c>
      <c r="M310" s="6">
        <v>148248.37</v>
      </c>
      <c r="N310" s="6">
        <v>33.99</v>
      </c>
    </row>
    <row r="311" spans="1:14" x14ac:dyDescent="0.2">
      <c r="A311" s="64" t="s">
        <v>13</v>
      </c>
      <c r="B311" s="64" t="s">
        <v>289</v>
      </c>
      <c r="C311" s="64">
        <v>10</v>
      </c>
      <c r="D311" s="64">
        <v>1</v>
      </c>
      <c r="E311" s="6">
        <v>164866.01</v>
      </c>
      <c r="F311" s="6">
        <v>36.21</v>
      </c>
      <c r="G311" s="6">
        <v>164866.01</v>
      </c>
      <c r="H311" s="6">
        <v>34.61</v>
      </c>
      <c r="I311" s="6">
        <v>164866.01</v>
      </c>
      <c r="J311" s="6">
        <v>34.61</v>
      </c>
      <c r="K311" s="6">
        <v>164866.01</v>
      </c>
      <c r="L311" s="6">
        <v>36.770000000000003</v>
      </c>
      <c r="M311" s="6">
        <v>164866.01</v>
      </c>
      <c r="N311" s="6">
        <v>37.56</v>
      </c>
    </row>
    <row r="312" spans="1:14" x14ac:dyDescent="0.2">
      <c r="A312" s="64" t="s">
        <v>13</v>
      </c>
      <c r="B312" s="64" t="s">
        <v>289</v>
      </c>
      <c r="C312" s="64">
        <v>12</v>
      </c>
      <c r="D312" s="64">
        <v>1</v>
      </c>
      <c r="E312" s="6">
        <v>193735.14</v>
      </c>
      <c r="F312" s="6">
        <v>49.64</v>
      </c>
      <c r="G312" s="6">
        <v>193735.14</v>
      </c>
      <c r="H312" s="6">
        <v>50.76</v>
      </c>
      <c r="I312" s="6">
        <v>193735.14</v>
      </c>
      <c r="J312" s="6">
        <v>50.76</v>
      </c>
      <c r="K312" s="6">
        <v>193735.14</v>
      </c>
      <c r="L312" s="6">
        <v>47.93</v>
      </c>
      <c r="M312" s="6">
        <v>193735.14</v>
      </c>
      <c r="N312" s="6">
        <v>53.12</v>
      </c>
    </row>
    <row r="313" spans="1:14" x14ac:dyDescent="0.2">
      <c r="A313" s="64" t="s">
        <v>13</v>
      </c>
      <c r="B313" s="64" t="s">
        <v>289</v>
      </c>
      <c r="C313" s="64">
        <v>14</v>
      </c>
      <c r="D313" s="64">
        <v>1</v>
      </c>
      <c r="E313" s="6">
        <v>220762.37</v>
      </c>
      <c r="F313" s="6">
        <v>61.02</v>
      </c>
      <c r="G313" s="6">
        <v>220762.37</v>
      </c>
      <c r="H313" s="6">
        <v>60.66</v>
      </c>
      <c r="I313" s="6">
        <v>220762.37</v>
      </c>
      <c r="J313" s="6">
        <v>60.66</v>
      </c>
      <c r="K313" s="6">
        <v>220762.37</v>
      </c>
      <c r="L313" s="6">
        <v>67.09</v>
      </c>
      <c r="M313" s="6">
        <v>220762.37</v>
      </c>
      <c r="N313" s="6">
        <v>62.12</v>
      </c>
    </row>
    <row r="314" spans="1:14" x14ac:dyDescent="0.2">
      <c r="A314" s="64" t="s">
        <v>13</v>
      </c>
      <c r="B314" s="64" t="s">
        <v>289</v>
      </c>
      <c r="C314" s="64">
        <v>16</v>
      </c>
      <c r="D314" s="64">
        <v>1</v>
      </c>
      <c r="E314" s="6">
        <v>230244.54</v>
      </c>
      <c r="F314" s="6">
        <v>76.92</v>
      </c>
      <c r="G314" s="6">
        <v>230244.54</v>
      </c>
      <c r="H314" s="6">
        <v>80.239999999999995</v>
      </c>
      <c r="I314" s="6">
        <v>230244.54</v>
      </c>
      <c r="J314" s="6">
        <v>80.239999999999995</v>
      </c>
      <c r="K314" s="6">
        <v>230244.54</v>
      </c>
      <c r="L314" s="6">
        <v>78.760000000000005</v>
      </c>
      <c r="M314" s="6">
        <v>230244.54</v>
      </c>
      <c r="N314" s="6">
        <v>88.72</v>
      </c>
    </row>
    <row r="315" spans="1:14" x14ac:dyDescent="0.2">
      <c r="A315" s="64" t="s">
        <v>13</v>
      </c>
      <c r="B315" s="64" t="s">
        <v>289</v>
      </c>
      <c r="C315" s="64">
        <v>18</v>
      </c>
      <c r="D315" s="64">
        <v>1</v>
      </c>
      <c r="E315" s="6">
        <v>252640.11</v>
      </c>
      <c r="F315" s="6">
        <v>89.51</v>
      </c>
      <c r="G315" s="6">
        <v>252640.11</v>
      </c>
      <c r="H315" s="6">
        <v>97.4</v>
      </c>
      <c r="I315" s="6">
        <v>252640.11</v>
      </c>
      <c r="J315" s="6">
        <v>97.4</v>
      </c>
      <c r="K315" s="6">
        <v>252640.11</v>
      </c>
      <c r="L315" s="6">
        <v>91.1</v>
      </c>
      <c r="M315" s="6">
        <v>252640.11</v>
      </c>
      <c r="N315" s="6">
        <v>89.74</v>
      </c>
    </row>
    <row r="316" spans="1:14" x14ac:dyDescent="0.2">
      <c r="A316" s="64" t="s">
        <v>13</v>
      </c>
      <c r="B316" s="64" t="s">
        <v>289</v>
      </c>
      <c r="C316" s="64">
        <v>20</v>
      </c>
      <c r="D316" s="64">
        <v>1</v>
      </c>
      <c r="E316" s="6">
        <v>265398.32</v>
      </c>
      <c r="F316" s="6">
        <v>105.89</v>
      </c>
      <c r="G316" s="6">
        <v>265549.28000000003</v>
      </c>
      <c r="H316" s="6">
        <v>90.09</v>
      </c>
      <c r="I316" s="6">
        <v>265549.28000000003</v>
      </c>
      <c r="J316" s="6">
        <v>90.09</v>
      </c>
      <c r="K316" s="6">
        <v>265398.32</v>
      </c>
      <c r="L316" s="6">
        <v>99.34</v>
      </c>
      <c r="M316" s="6">
        <v>265398.32</v>
      </c>
      <c r="N316" s="6">
        <v>92.54</v>
      </c>
    </row>
    <row r="317" spans="1:14" x14ac:dyDescent="0.2">
      <c r="A317" s="64" t="s">
        <v>13</v>
      </c>
      <c r="B317" s="64" t="s">
        <v>289</v>
      </c>
      <c r="C317" s="64">
        <v>22</v>
      </c>
      <c r="D317" s="64">
        <v>1</v>
      </c>
      <c r="E317" s="6">
        <v>291648.53999999998</v>
      </c>
      <c r="F317" s="6">
        <v>124.39</v>
      </c>
      <c r="G317" s="6">
        <v>291782.26</v>
      </c>
      <c r="H317" s="6">
        <v>117.82</v>
      </c>
      <c r="I317" s="6">
        <v>291782.26</v>
      </c>
      <c r="J317" s="6">
        <v>117.82</v>
      </c>
      <c r="K317" s="6">
        <v>291782.26</v>
      </c>
      <c r="L317" s="6">
        <v>113.25</v>
      </c>
      <c r="M317" s="6">
        <v>291648.53999999998</v>
      </c>
      <c r="N317" s="6">
        <v>123.49</v>
      </c>
    </row>
    <row r="318" spans="1:14" x14ac:dyDescent="0.2">
      <c r="A318" s="64"/>
      <c r="B318" s="64"/>
      <c r="C318" s="64"/>
      <c r="D318" s="64"/>
      <c r="E318" s="6"/>
      <c r="F318" s="6"/>
      <c r="G318" s="6"/>
      <c r="H318" s="6"/>
      <c r="I318" s="6"/>
      <c r="J318" s="6"/>
      <c r="K318" s="6"/>
      <c r="L318" s="6"/>
      <c r="M318" s="6"/>
      <c r="N318" s="6"/>
    </row>
    <row r="319" spans="1:14" x14ac:dyDescent="0.2">
      <c r="A319" s="64" t="s">
        <v>13</v>
      </c>
      <c r="B319" s="64" t="s">
        <v>289</v>
      </c>
      <c r="C319" s="64">
        <v>4</v>
      </c>
      <c r="D319" s="64">
        <v>0.5</v>
      </c>
      <c r="E319" s="6">
        <v>94788.78</v>
      </c>
      <c r="F319" s="6">
        <v>20.58</v>
      </c>
      <c r="G319" s="6">
        <v>94788.78</v>
      </c>
      <c r="H319" s="6">
        <v>19.579999999999998</v>
      </c>
      <c r="I319" s="6">
        <v>94788.78</v>
      </c>
      <c r="J319" s="6">
        <v>19.579999999999998</v>
      </c>
      <c r="K319" s="6">
        <v>94788.78</v>
      </c>
      <c r="L319" s="6">
        <v>18.72</v>
      </c>
      <c r="M319" s="6">
        <v>94788.78</v>
      </c>
      <c r="N319" s="6">
        <v>20.329999999999998</v>
      </c>
    </row>
    <row r="320" spans="1:14" x14ac:dyDescent="0.2">
      <c r="A320" s="64" t="s">
        <v>13</v>
      </c>
      <c r="B320" s="64" t="s">
        <v>289</v>
      </c>
      <c r="C320" s="64">
        <v>6</v>
      </c>
      <c r="D320" s="64">
        <v>0.5</v>
      </c>
      <c r="E320" s="6">
        <v>153819.10999999999</v>
      </c>
      <c r="F320" s="6">
        <v>30.49</v>
      </c>
      <c r="G320" s="6">
        <v>153819.10999999999</v>
      </c>
      <c r="H320" s="6">
        <v>39.82</v>
      </c>
      <c r="I320" s="6">
        <v>153819.10999999999</v>
      </c>
      <c r="J320" s="6">
        <v>39.82</v>
      </c>
      <c r="K320" s="6">
        <v>153819.10999999999</v>
      </c>
      <c r="L320" s="6">
        <v>31.91</v>
      </c>
      <c r="M320" s="6">
        <v>153819.10999999999</v>
      </c>
      <c r="N320" s="6">
        <v>31.18</v>
      </c>
    </row>
    <row r="321" spans="1:14" x14ac:dyDescent="0.2">
      <c r="A321" s="64" t="s">
        <v>13</v>
      </c>
      <c r="B321" s="64" t="s">
        <v>289</v>
      </c>
      <c r="C321" s="64">
        <v>8</v>
      </c>
      <c r="D321" s="64">
        <v>0.5</v>
      </c>
      <c r="E321" s="6">
        <v>192354.9</v>
      </c>
      <c r="F321" s="6">
        <v>55.23</v>
      </c>
      <c r="G321" s="6">
        <v>192354.9</v>
      </c>
      <c r="H321" s="6">
        <v>50.14</v>
      </c>
      <c r="I321" s="6">
        <v>192354.9</v>
      </c>
      <c r="J321" s="6">
        <v>50.14</v>
      </c>
      <c r="K321" s="6">
        <v>192354.9</v>
      </c>
      <c r="L321" s="6">
        <v>59.64</v>
      </c>
      <c r="M321" s="6">
        <v>194978.05</v>
      </c>
      <c r="N321" s="6">
        <v>51.25</v>
      </c>
    </row>
    <row r="322" spans="1:14" x14ac:dyDescent="0.2">
      <c r="A322" s="64" t="s">
        <v>13</v>
      </c>
      <c r="B322" s="64" t="s">
        <v>289</v>
      </c>
      <c r="C322" s="64">
        <v>10</v>
      </c>
      <c r="D322" s="64">
        <v>0.5</v>
      </c>
      <c r="E322" s="6">
        <v>216415.04</v>
      </c>
      <c r="F322" s="6">
        <v>59.25</v>
      </c>
      <c r="G322" s="6">
        <v>216415.04</v>
      </c>
      <c r="H322" s="6">
        <v>64.67</v>
      </c>
      <c r="I322" s="6">
        <v>216415.04</v>
      </c>
      <c r="J322" s="6">
        <v>64.67</v>
      </c>
      <c r="K322" s="6">
        <v>216415.04</v>
      </c>
      <c r="L322" s="6">
        <v>57.93</v>
      </c>
      <c r="M322" s="6">
        <v>216415.04</v>
      </c>
      <c r="N322" s="6">
        <v>74.66</v>
      </c>
    </row>
    <row r="323" spans="1:14" x14ac:dyDescent="0.2">
      <c r="A323" s="64" t="s">
        <v>13</v>
      </c>
      <c r="B323" s="64" t="s">
        <v>289</v>
      </c>
      <c r="C323" s="64">
        <v>12</v>
      </c>
      <c r="D323" s="64">
        <v>0.5</v>
      </c>
      <c r="E323" s="6">
        <v>269268.3</v>
      </c>
      <c r="F323" s="6">
        <v>118.31</v>
      </c>
      <c r="G323" s="6">
        <v>270318.40999999997</v>
      </c>
      <c r="H323" s="6">
        <v>120.84</v>
      </c>
      <c r="I323" s="6">
        <v>270318.40999999997</v>
      </c>
      <c r="J323" s="6">
        <v>120.84</v>
      </c>
      <c r="K323" s="6">
        <v>270318.40999999997</v>
      </c>
      <c r="L323" s="6">
        <v>102.78</v>
      </c>
      <c r="M323" s="6">
        <v>270318.40999999997</v>
      </c>
      <c r="N323" s="6">
        <v>121.19</v>
      </c>
    </row>
    <row r="324" spans="1:14" x14ac:dyDescent="0.2">
      <c r="A324" s="64" t="s">
        <v>13</v>
      </c>
      <c r="B324" s="64" t="s">
        <v>289</v>
      </c>
      <c r="C324" s="64">
        <v>14</v>
      </c>
      <c r="D324" s="64">
        <v>0.5</v>
      </c>
      <c r="E324" s="6">
        <v>287189.40000000002</v>
      </c>
      <c r="F324" s="6">
        <v>122.35</v>
      </c>
      <c r="G324" s="6">
        <v>286945.28999999998</v>
      </c>
      <c r="H324" s="6">
        <v>121.62</v>
      </c>
      <c r="I324" s="6">
        <v>286945.28999999998</v>
      </c>
      <c r="J324" s="6">
        <v>121.62</v>
      </c>
      <c r="K324" s="6">
        <v>287189.40000000002</v>
      </c>
      <c r="L324" s="6">
        <v>135.21</v>
      </c>
      <c r="M324" s="6">
        <v>286945.28999999998</v>
      </c>
      <c r="N324" s="6">
        <v>118.28</v>
      </c>
    </row>
    <row r="325" spans="1:14" x14ac:dyDescent="0.2">
      <c r="A325" s="64" t="s">
        <v>13</v>
      </c>
      <c r="B325" s="64" t="s">
        <v>289</v>
      </c>
      <c r="C325" s="64">
        <v>16</v>
      </c>
      <c r="D325" s="64">
        <v>0.5</v>
      </c>
      <c r="E325" s="6">
        <v>305605.24</v>
      </c>
      <c r="F325" s="6">
        <v>184.93</v>
      </c>
      <c r="G325" s="6">
        <v>308415.09999999998</v>
      </c>
      <c r="H325" s="6">
        <v>193.9</v>
      </c>
      <c r="I325" s="6">
        <v>308415.09999999998</v>
      </c>
      <c r="J325" s="6">
        <v>193.9</v>
      </c>
      <c r="K325" s="6">
        <v>307485.82</v>
      </c>
      <c r="L325" s="6">
        <v>239.29</v>
      </c>
      <c r="M325" s="6">
        <v>305605.24</v>
      </c>
      <c r="N325" s="6">
        <v>229.77</v>
      </c>
    </row>
    <row r="326" spans="1:14" x14ac:dyDescent="0.2">
      <c r="A326" s="64" t="s">
        <v>13</v>
      </c>
      <c r="B326" s="64" t="s">
        <v>289</v>
      </c>
      <c r="C326" s="64">
        <v>18</v>
      </c>
      <c r="D326" s="64">
        <v>0.5</v>
      </c>
      <c r="E326" s="6">
        <v>332362.13</v>
      </c>
      <c r="F326" s="6">
        <v>250.45</v>
      </c>
      <c r="G326" s="6">
        <v>332362.13</v>
      </c>
      <c r="H326" s="6">
        <v>277.04000000000002</v>
      </c>
      <c r="I326" s="6">
        <v>332362.13</v>
      </c>
      <c r="J326" s="6">
        <v>277.04000000000002</v>
      </c>
      <c r="K326" s="6">
        <v>332362.13</v>
      </c>
      <c r="L326" s="6">
        <v>232.06</v>
      </c>
      <c r="M326" s="6">
        <v>332362.13</v>
      </c>
      <c r="N326" s="6">
        <v>267.35000000000002</v>
      </c>
    </row>
    <row r="327" spans="1:14" x14ac:dyDescent="0.2">
      <c r="A327" s="64" t="s">
        <v>13</v>
      </c>
      <c r="B327" s="64" t="s">
        <v>289</v>
      </c>
      <c r="C327" s="64">
        <v>20</v>
      </c>
      <c r="D327" s="64">
        <v>0.5</v>
      </c>
      <c r="E327" s="6">
        <v>354301.71</v>
      </c>
      <c r="F327" s="6">
        <v>428.33</v>
      </c>
      <c r="G327" s="6">
        <v>352821.03</v>
      </c>
      <c r="H327" s="6">
        <v>396.23</v>
      </c>
      <c r="I327" s="6">
        <v>352821.03</v>
      </c>
      <c r="J327" s="6">
        <v>396.23</v>
      </c>
      <c r="K327" s="6">
        <v>354301.71</v>
      </c>
      <c r="L327" s="6">
        <v>394.57</v>
      </c>
      <c r="M327" s="6">
        <v>352821.03</v>
      </c>
      <c r="N327" s="6">
        <v>399.74</v>
      </c>
    </row>
    <row r="328" spans="1:14" x14ac:dyDescent="0.2">
      <c r="A328" s="64" t="s">
        <v>13</v>
      </c>
      <c r="B328" s="64" t="s">
        <v>289</v>
      </c>
      <c r="C328" s="64">
        <v>22</v>
      </c>
      <c r="D328" s="64">
        <v>0.5</v>
      </c>
      <c r="E328" s="6">
        <v>388993.18</v>
      </c>
      <c r="F328" s="6">
        <v>323.11</v>
      </c>
      <c r="G328" s="6">
        <v>388885.81</v>
      </c>
      <c r="H328" s="6">
        <v>389.43</v>
      </c>
      <c r="I328" s="6">
        <v>388885.81</v>
      </c>
      <c r="J328" s="6">
        <v>389.43</v>
      </c>
      <c r="K328" s="6">
        <v>390037.52</v>
      </c>
      <c r="L328" s="6">
        <v>303.01</v>
      </c>
      <c r="M328" s="6">
        <v>388993.18</v>
      </c>
      <c r="N328" s="6">
        <v>512.73</v>
      </c>
    </row>
    <row r="329" spans="1:14" x14ac:dyDescent="0.2">
      <c r="E329" s="6"/>
      <c r="F329" s="6"/>
      <c r="G329" s="6"/>
      <c r="H329" s="6"/>
      <c r="I329" s="6"/>
      <c r="J329" s="6"/>
      <c r="K329" s="6"/>
      <c r="L329" s="6"/>
      <c r="M329" s="6"/>
      <c r="N329" s="6"/>
    </row>
    <row r="330" spans="1:14" x14ac:dyDescent="0.2">
      <c r="A330" s="64" t="s">
        <v>13</v>
      </c>
      <c r="B330" s="64" t="s">
        <v>289</v>
      </c>
      <c r="C330" s="64">
        <v>4</v>
      </c>
      <c r="D330" s="64">
        <v>0.3</v>
      </c>
      <c r="E330" s="6" t="s">
        <v>15</v>
      </c>
      <c r="F330" s="6">
        <v>20.28</v>
      </c>
      <c r="G330" s="6" t="s">
        <v>15</v>
      </c>
      <c r="H330" s="6">
        <v>20.3</v>
      </c>
      <c r="I330" s="6" t="s">
        <v>15</v>
      </c>
      <c r="J330" s="6">
        <v>20.3</v>
      </c>
      <c r="K330" s="6" t="s">
        <v>15</v>
      </c>
      <c r="L330" s="6">
        <v>21.17</v>
      </c>
      <c r="M330" s="6" t="s">
        <v>16</v>
      </c>
      <c r="N330" s="6">
        <v>20.38</v>
      </c>
    </row>
    <row r="331" spans="1:14" x14ac:dyDescent="0.2">
      <c r="A331" s="64" t="s">
        <v>13</v>
      </c>
      <c r="B331" s="64" t="s">
        <v>289</v>
      </c>
      <c r="C331" s="64">
        <v>6</v>
      </c>
      <c r="D331" s="64">
        <v>0.3</v>
      </c>
      <c r="E331" s="6" t="s">
        <v>15</v>
      </c>
      <c r="F331" s="6">
        <v>36.6</v>
      </c>
      <c r="G331" s="6" t="s">
        <v>15</v>
      </c>
      <c r="H331" s="6">
        <v>48.38</v>
      </c>
      <c r="I331" s="6" t="s">
        <v>15</v>
      </c>
      <c r="J331" s="6">
        <v>48.38</v>
      </c>
      <c r="K331" s="6" t="s">
        <v>15</v>
      </c>
      <c r="L331" s="6">
        <v>39.369999999999997</v>
      </c>
      <c r="M331" s="6" t="s">
        <v>15</v>
      </c>
      <c r="N331" s="6">
        <v>36</v>
      </c>
    </row>
    <row r="332" spans="1:14" x14ac:dyDescent="0.2">
      <c r="A332" s="64" t="s">
        <v>13</v>
      </c>
      <c r="B332" s="64" t="s">
        <v>289</v>
      </c>
      <c r="C332" s="64">
        <v>8</v>
      </c>
      <c r="D332" s="64">
        <v>0.3</v>
      </c>
      <c r="E332" s="6">
        <v>244693.38</v>
      </c>
      <c r="F332" s="6">
        <v>79.650000000000006</v>
      </c>
      <c r="G332" s="6">
        <v>244693.38</v>
      </c>
      <c r="H332" s="6">
        <v>72.63</v>
      </c>
      <c r="I332" s="6">
        <v>244693.38</v>
      </c>
      <c r="J332" s="6">
        <v>72.63</v>
      </c>
      <c r="K332" s="6">
        <v>244693.38</v>
      </c>
      <c r="L332" s="6">
        <v>81.819999999999993</v>
      </c>
      <c r="M332" s="6">
        <v>244693.38</v>
      </c>
      <c r="N332" s="6">
        <v>77.03</v>
      </c>
    </row>
    <row r="333" spans="1:14" x14ac:dyDescent="0.2">
      <c r="A333" s="64" t="s">
        <v>13</v>
      </c>
      <c r="B333" s="64" t="s">
        <v>289</v>
      </c>
      <c r="C333" s="64">
        <v>10</v>
      </c>
      <c r="D333" s="64">
        <v>0.3</v>
      </c>
      <c r="E333" s="6">
        <v>294069.09000000003</v>
      </c>
      <c r="F333" s="6">
        <v>100.35</v>
      </c>
      <c r="G333" s="6">
        <v>294069.09000000003</v>
      </c>
      <c r="H333" s="6">
        <v>127.26</v>
      </c>
      <c r="I333" s="6">
        <v>294069.09000000003</v>
      </c>
      <c r="J333" s="6">
        <v>127.26</v>
      </c>
      <c r="K333" s="6">
        <v>294069.09000000003</v>
      </c>
      <c r="L333" s="6">
        <v>103.6</v>
      </c>
      <c r="M333" s="6">
        <v>306043.84999999998</v>
      </c>
      <c r="N333" s="6">
        <v>126.58</v>
      </c>
    </row>
    <row r="334" spans="1:14" x14ac:dyDescent="0.2">
      <c r="A334" s="64" t="s">
        <v>13</v>
      </c>
      <c r="B334" s="64" t="s">
        <v>289</v>
      </c>
      <c r="C334" s="64">
        <v>12</v>
      </c>
      <c r="D334" s="64">
        <v>0.3</v>
      </c>
      <c r="E334" s="6">
        <v>391164.75</v>
      </c>
      <c r="F334" s="6">
        <v>138.91999999999999</v>
      </c>
      <c r="G334" s="6">
        <v>390497.94</v>
      </c>
      <c r="H334" s="6">
        <v>119.44</v>
      </c>
      <c r="I334" s="6">
        <v>390497.94</v>
      </c>
      <c r="J334" s="6">
        <v>119.44</v>
      </c>
      <c r="K334" s="6">
        <v>395434.95</v>
      </c>
      <c r="L334" s="6">
        <v>113.04</v>
      </c>
      <c r="M334" s="6">
        <v>389601.19</v>
      </c>
      <c r="N334" s="6">
        <v>158.12</v>
      </c>
    </row>
    <row r="335" spans="1:14" x14ac:dyDescent="0.2">
      <c r="A335" s="64" t="s">
        <v>13</v>
      </c>
      <c r="B335" s="64" t="s">
        <v>289</v>
      </c>
      <c r="C335" s="64">
        <v>14</v>
      </c>
      <c r="D335" s="64">
        <v>0.3</v>
      </c>
      <c r="E335" s="6">
        <v>389560.03</v>
      </c>
      <c r="F335" s="6">
        <v>280.52</v>
      </c>
      <c r="G335" s="6">
        <v>390049.45</v>
      </c>
      <c r="H335" s="6">
        <v>219.15</v>
      </c>
      <c r="I335" s="6">
        <v>390049.45</v>
      </c>
      <c r="J335" s="6">
        <v>219.15</v>
      </c>
      <c r="K335" s="6">
        <v>389560.03</v>
      </c>
      <c r="L335" s="6">
        <v>216.25</v>
      </c>
      <c r="M335" s="6">
        <v>389586.49</v>
      </c>
      <c r="N335" s="6">
        <v>352.99</v>
      </c>
    </row>
    <row r="336" spans="1:14" x14ac:dyDescent="0.2">
      <c r="A336" s="64" t="s">
        <v>13</v>
      </c>
      <c r="B336" s="64" t="s">
        <v>289</v>
      </c>
      <c r="C336" s="64">
        <v>16</v>
      </c>
      <c r="D336" s="64">
        <v>0.3</v>
      </c>
      <c r="E336" s="6">
        <v>412492.22</v>
      </c>
      <c r="F336" s="6">
        <v>421.14</v>
      </c>
      <c r="G336" s="6">
        <v>412492.22</v>
      </c>
      <c r="H336" s="6">
        <v>382.74</v>
      </c>
      <c r="I336" s="6">
        <v>412492.22</v>
      </c>
      <c r="J336" s="6">
        <v>382.74</v>
      </c>
      <c r="K336" s="6">
        <v>412492.22</v>
      </c>
      <c r="L336" s="6">
        <v>402.9</v>
      </c>
      <c r="M336" s="6">
        <v>418201.7</v>
      </c>
      <c r="N336" s="6">
        <v>556.46</v>
      </c>
    </row>
    <row r="337" spans="1:14" x14ac:dyDescent="0.2">
      <c r="A337" s="64" t="s">
        <v>13</v>
      </c>
      <c r="B337" s="64" t="s">
        <v>289</v>
      </c>
      <c r="C337" s="64">
        <v>18</v>
      </c>
      <c r="D337" s="64">
        <v>0.3</v>
      </c>
      <c r="E337" s="6">
        <v>438633.69</v>
      </c>
      <c r="F337" s="6">
        <v>935.5</v>
      </c>
      <c r="G337" s="6">
        <v>443920.84</v>
      </c>
      <c r="H337" s="6">
        <v>802.03</v>
      </c>
      <c r="I337" s="6">
        <v>443920.84</v>
      </c>
      <c r="J337" s="6">
        <v>802.03</v>
      </c>
      <c r="K337" s="6">
        <v>443893.91</v>
      </c>
      <c r="L337" s="6">
        <v>719.27</v>
      </c>
      <c r="M337" s="6">
        <v>438633.69</v>
      </c>
      <c r="N337" s="6">
        <v>969.93</v>
      </c>
    </row>
    <row r="338" spans="1:14" x14ac:dyDescent="0.2">
      <c r="A338" s="64" t="s">
        <v>13</v>
      </c>
      <c r="B338" s="64" t="s">
        <v>289</v>
      </c>
      <c r="C338" s="64">
        <v>20</v>
      </c>
      <c r="D338" s="64">
        <v>0.3</v>
      </c>
      <c r="E338" s="6">
        <v>471026.8</v>
      </c>
      <c r="F338" s="6">
        <v>1084.22</v>
      </c>
      <c r="G338" s="6">
        <v>471026.8</v>
      </c>
      <c r="H338" s="6">
        <v>1180.93</v>
      </c>
      <c r="I338" s="6">
        <v>471026.8</v>
      </c>
      <c r="J338" s="6">
        <v>1180.93</v>
      </c>
      <c r="K338" s="6">
        <v>471026.8</v>
      </c>
      <c r="L338" s="6">
        <v>1130.67</v>
      </c>
      <c r="M338" s="6">
        <v>471026.8</v>
      </c>
      <c r="N338" s="6">
        <v>1280.6199999999999</v>
      </c>
    </row>
    <row r="339" spans="1:14" x14ac:dyDescent="0.2">
      <c r="A339" s="64" t="s">
        <v>13</v>
      </c>
      <c r="B339" s="64" t="s">
        <v>289</v>
      </c>
      <c r="C339" s="64">
        <v>22</v>
      </c>
      <c r="D339" s="64">
        <v>0.3</v>
      </c>
      <c r="E339" s="6">
        <v>504189.78</v>
      </c>
      <c r="F339" s="6">
        <v>1185.96</v>
      </c>
      <c r="G339" s="6">
        <v>500331.28</v>
      </c>
      <c r="H339" s="6">
        <v>1578.89</v>
      </c>
      <c r="I339" s="6">
        <v>500331.28</v>
      </c>
      <c r="J339" s="6">
        <v>1578.89</v>
      </c>
      <c r="K339" s="6">
        <v>500331.28</v>
      </c>
      <c r="L339" s="6">
        <v>1090.52</v>
      </c>
      <c r="M339" s="6">
        <v>503277.03</v>
      </c>
      <c r="N339" s="6">
        <v>886.23</v>
      </c>
    </row>
    <row r="340" spans="1:14" x14ac:dyDescent="0.2">
      <c r="A340" s="66"/>
      <c r="B340" s="66"/>
      <c r="C340" s="66"/>
      <c r="D340" s="66"/>
      <c r="E340" s="5"/>
      <c r="F340" s="5"/>
      <c r="G340" s="66"/>
      <c r="I340" s="66"/>
      <c r="K340" s="66"/>
      <c r="M340" s="67"/>
      <c r="N340" s="6"/>
    </row>
    <row r="341" spans="1:14" x14ac:dyDescent="0.2">
      <c r="A341" s="14" t="s">
        <v>14</v>
      </c>
      <c r="B341" s="14" t="s">
        <v>289</v>
      </c>
      <c r="C341" s="14">
        <v>23</v>
      </c>
      <c r="D341" s="14">
        <v>1</v>
      </c>
      <c r="E341" s="14">
        <v>296207.14</v>
      </c>
      <c r="F341" s="14">
        <v>123.05</v>
      </c>
      <c r="G341" s="14">
        <v>296002.73</v>
      </c>
      <c r="H341" s="14">
        <v>133.86000000000001</v>
      </c>
      <c r="I341" s="14">
        <v>296002.73</v>
      </c>
      <c r="J341" s="14">
        <v>133.86000000000001</v>
      </c>
      <c r="K341" s="14">
        <v>296207.14</v>
      </c>
      <c r="L341" s="14">
        <v>108.32</v>
      </c>
      <c r="M341" s="6">
        <v>296207.14</v>
      </c>
      <c r="N341" s="6">
        <v>114.7</v>
      </c>
    </row>
    <row r="342" spans="1:14" x14ac:dyDescent="0.2">
      <c r="A342" s="14" t="s">
        <v>14</v>
      </c>
      <c r="B342" s="14" t="s">
        <v>289</v>
      </c>
      <c r="C342" s="14">
        <v>23</v>
      </c>
      <c r="D342" s="14">
        <v>0.5</v>
      </c>
      <c r="E342" s="14">
        <v>396081.67</v>
      </c>
      <c r="F342" s="6">
        <v>380.3</v>
      </c>
      <c r="G342" s="14">
        <v>394316.37</v>
      </c>
      <c r="H342" s="6">
        <v>499.3</v>
      </c>
      <c r="I342" s="14">
        <v>394316.37</v>
      </c>
      <c r="J342" s="6">
        <v>499.3</v>
      </c>
      <c r="K342" s="6">
        <v>392419.9</v>
      </c>
      <c r="L342" s="6">
        <v>454.8</v>
      </c>
      <c r="M342" s="6">
        <v>395047.57</v>
      </c>
      <c r="N342" s="6">
        <v>473.66</v>
      </c>
    </row>
    <row r="343" spans="1:14" x14ac:dyDescent="0.2">
      <c r="A343" s="14" t="s">
        <v>14</v>
      </c>
      <c r="B343" s="14" t="s">
        <v>289</v>
      </c>
      <c r="C343" s="14">
        <v>23</v>
      </c>
      <c r="D343" s="14">
        <v>0.3</v>
      </c>
      <c r="E343" s="14">
        <v>518538.66</v>
      </c>
      <c r="F343" s="14">
        <v>1352.28</v>
      </c>
      <c r="G343" s="14">
        <v>518874.33</v>
      </c>
      <c r="H343" s="14">
        <v>1605.34</v>
      </c>
      <c r="I343" s="14">
        <v>518874.33</v>
      </c>
      <c r="J343" s="14">
        <v>1605.34</v>
      </c>
      <c r="K343" s="14">
        <v>516269.64</v>
      </c>
      <c r="L343" s="14">
        <v>1595.28</v>
      </c>
      <c r="M343" s="6">
        <v>519875.94</v>
      </c>
      <c r="N343" s="6">
        <v>1329.27</v>
      </c>
    </row>
    <row r="345" spans="1:14" x14ac:dyDescent="0.2">
      <c r="A345" s="66"/>
      <c r="B345" s="66"/>
      <c r="C345" s="66"/>
      <c r="D345" s="66"/>
      <c r="E345" s="66"/>
      <c r="F345" s="66"/>
      <c r="G345" s="66"/>
      <c r="H345" s="66"/>
      <c r="I345" s="66"/>
      <c r="J345" s="66"/>
      <c r="K345" s="66"/>
      <c r="L345" s="66"/>
      <c r="M345" s="66"/>
      <c r="N345" s="66"/>
    </row>
    <row r="346" spans="1:14" x14ac:dyDescent="0.2">
      <c r="A346" s="64" t="s">
        <v>9</v>
      </c>
      <c r="B346" s="64" t="s">
        <v>290</v>
      </c>
      <c r="C346" s="64">
        <v>4</v>
      </c>
      <c r="D346" s="64">
        <v>1</v>
      </c>
      <c r="E346" s="6">
        <v>66252.53</v>
      </c>
      <c r="F346" s="6">
        <v>27.77</v>
      </c>
      <c r="G346" s="6">
        <v>66252.53</v>
      </c>
      <c r="H346" s="6">
        <v>27.75</v>
      </c>
      <c r="I346" s="6">
        <v>66252.53</v>
      </c>
      <c r="J346" s="6">
        <v>27.75</v>
      </c>
      <c r="K346" s="6">
        <v>66252.53</v>
      </c>
      <c r="L346" s="6">
        <v>29.2</v>
      </c>
      <c r="M346" s="6">
        <v>66252.53</v>
      </c>
      <c r="N346" s="6">
        <v>28.02</v>
      </c>
    </row>
    <row r="347" spans="1:14" x14ac:dyDescent="0.2">
      <c r="A347" s="64" t="s">
        <v>9</v>
      </c>
      <c r="B347" s="64" t="s">
        <v>290</v>
      </c>
      <c r="C347" s="64">
        <v>6</v>
      </c>
      <c r="D347" s="64">
        <v>1</v>
      </c>
      <c r="E347" s="6">
        <v>107812.58</v>
      </c>
      <c r="F347" s="6">
        <v>41.28</v>
      </c>
      <c r="G347" s="6">
        <v>107812.58</v>
      </c>
      <c r="H347" s="6">
        <v>40.21</v>
      </c>
      <c r="I347" s="6">
        <v>107812.58</v>
      </c>
      <c r="J347" s="6">
        <v>40.21</v>
      </c>
      <c r="K347" s="6">
        <v>107812.58</v>
      </c>
      <c r="L347" s="6">
        <v>42.77</v>
      </c>
      <c r="M347" s="6">
        <v>107812.58</v>
      </c>
      <c r="N347" s="6">
        <v>42.63</v>
      </c>
    </row>
    <row r="348" spans="1:14" x14ac:dyDescent="0.2">
      <c r="A348" s="64" t="s">
        <v>9</v>
      </c>
      <c r="B348" s="64" t="s">
        <v>290</v>
      </c>
      <c r="C348" s="64">
        <v>8</v>
      </c>
      <c r="D348" s="64">
        <v>1</v>
      </c>
      <c r="E348" s="6">
        <v>158424.91</v>
      </c>
      <c r="F348" s="6">
        <v>52.64</v>
      </c>
      <c r="G348" s="6">
        <v>158424.91</v>
      </c>
      <c r="H348" s="6">
        <v>59.23</v>
      </c>
      <c r="I348" s="6">
        <v>158424.91</v>
      </c>
      <c r="J348" s="6">
        <v>59.23</v>
      </c>
      <c r="K348" s="6">
        <v>158424.91</v>
      </c>
      <c r="L348" s="6">
        <v>56.12</v>
      </c>
      <c r="M348" s="6">
        <v>158424.91</v>
      </c>
      <c r="N348" s="6">
        <v>58.68</v>
      </c>
    </row>
    <row r="349" spans="1:14" x14ac:dyDescent="0.2">
      <c r="A349" s="64" t="s">
        <v>9</v>
      </c>
      <c r="B349" s="64" t="s">
        <v>290</v>
      </c>
      <c r="C349" s="64">
        <v>10</v>
      </c>
      <c r="D349" s="64">
        <v>1</v>
      </c>
      <c r="E349" s="6">
        <v>170487.46</v>
      </c>
      <c r="F349" s="6">
        <v>80.02</v>
      </c>
      <c r="G349" s="6">
        <v>170487.46</v>
      </c>
      <c r="H349" s="65">
        <v>79.83</v>
      </c>
      <c r="I349" s="6">
        <v>170487.46</v>
      </c>
      <c r="J349" s="65">
        <v>79.83</v>
      </c>
      <c r="K349" s="6">
        <v>170487.46</v>
      </c>
      <c r="L349" s="6">
        <v>76.849999999999994</v>
      </c>
      <c r="M349" s="6">
        <v>170487.46</v>
      </c>
      <c r="N349" s="6">
        <v>80.62</v>
      </c>
    </row>
    <row r="350" spans="1:14" x14ac:dyDescent="0.2">
      <c r="A350" s="64" t="s">
        <v>9</v>
      </c>
      <c r="B350" s="64" t="s">
        <v>290</v>
      </c>
      <c r="C350" s="64">
        <v>12</v>
      </c>
      <c r="D350" s="64">
        <v>1</v>
      </c>
      <c r="E350" s="6">
        <v>217556.26</v>
      </c>
      <c r="F350" s="6">
        <v>86.64</v>
      </c>
      <c r="G350" s="6">
        <v>217556.26</v>
      </c>
      <c r="H350" s="6">
        <v>86.58</v>
      </c>
      <c r="I350" s="6">
        <v>217556.26</v>
      </c>
      <c r="J350" s="6">
        <v>86.58</v>
      </c>
      <c r="K350" s="6">
        <v>217556.26</v>
      </c>
      <c r="L350" s="6">
        <v>84.58</v>
      </c>
      <c r="M350" s="6">
        <v>217556.26</v>
      </c>
      <c r="N350" s="6">
        <v>85.48</v>
      </c>
    </row>
    <row r="351" spans="1:14" x14ac:dyDescent="0.2">
      <c r="A351" s="64" t="s">
        <v>9</v>
      </c>
      <c r="B351" s="64" t="s">
        <v>290</v>
      </c>
      <c r="C351" s="64">
        <v>14</v>
      </c>
      <c r="D351" s="64">
        <v>1</v>
      </c>
      <c r="E351" s="6">
        <v>227343.35999999999</v>
      </c>
      <c r="F351" s="6">
        <v>77.44</v>
      </c>
      <c r="G351" s="6">
        <v>227343.35999999999</v>
      </c>
      <c r="H351" s="6">
        <v>88.11</v>
      </c>
      <c r="I351" s="6">
        <v>227343.35999999999</v>
      </c>
      <c r="J351" s="6">
        <v>88.11</v>
      </c>
      <c r="K351" s="6">
        <v>227343.35999999999</v>
      </c>
      <c r="L351" s="6">
        <v>85.02</v>
      </c>
      <c r="M351" s="6">
        <v>227343.35999999999</v>
      </c>
      <c r="N351" s="6">
        <v>78.41</v>
      </c>
    </row>
    <row r="352" spans="1:14" x14ac:dyDescent="0.2">
      <c r="A352" s="64" t="s">
        <v>9</v>
      </c>
      <c r="B352" s="64" t="s">
        <v>290</v>
      </c>
      <c r="C352" s="64">
        <v>16</v>
      </c>
      <c r="D352" s="64">
        <v>1</v>
      </c>
      <c r="E352" s="6">
        <v>284055.59999999998</v>
      </c>
      <c r="F352" s="6">
        <v>169.17</v>
      </c>
      <c r="G352" s="6">
        <v>284378.48</v>
      </c>
      <c r="H352" s="6">
        <v>137.53</v>
      </c>
      <c r="I352" s="6">
        <v>284378.48</v>
      </c>
      <c r="J352" s="6">
        <v>137.53</v>
      </c>
      <c r="K352" s="6">
        <v>284378.48</v>
      </c>
      <c r="L352" s="6">
        <v>169</v>
      </c>
      <c r="M352" s="6">
        <v>284378.48</v>
      </c>
      <c r="N352" s="6">
        <v>144.03</v>
      </c>
    </row>
    <row r="353" spans="1:14" x14ac:dyDescent="0.2">
      <c r="A353" s="64" t="s">
        <v>9</v>
      </c>
      <c r="B353" s="64" t="s">
        <v>290</v>
      </c>
      <c r="C353" s="64">
        <v>18</v>
      </c>
      <c r="D353" s="64">
        <v>1</v>
      </c>
      <c r="E353" s="6">
        <v>340416.62</v>
      </c>
      <c r="F353" s="6">
        <v>201.83</v>
      </c>
      <c r="G353" s="6">
        <v>340504.94</v>
      </c>
      <c r="H353" s="6">
        <v>191.94</v>
      </c>
      <c r="I353" s="6">
        <v>340504.94</v>
      </c>
      <c r="J353" s="6">
        <v>191.94</v>
      </c>
      <c r="K353" s="6">
        <v>340504.94</v>
      </c>
      <c r="L353" s="6">
        <v>211.78</v>
      </c>
      <c r="M353" s="6">
        <v>340416.62</v>
      </c>
      <c r="N353" s="6">
        <v>206.21</v>
      </c>
    </row>
    <row r="354" spans="1:14" x14ac:dyDescent="0.2">
      <c r="A354" s="64" t="s">
        <v>9</v>
      </c>
      <c r="B354" s="64" t="s">
        <v>290</v>
      </c>
      <c r="C354" s="64">
        <v>20</v>
      </c>
      <c r="D354" s="64">
        <v>1</v>
      </c>
      <c r="E354" s="6">
        <v>345805.22</v>
      </c>
      <c r="F354" s="6">
        <v>175.86</v>
      </c>
      <c r="G354" s="6">
        <v>345805.22</v>
      </c>
      <c r="H354" s="6">
        <v>159.32</v>
      </c>
      <c r="I354" s="6">
        <v>345805.22</v>
      </c>
      <c r="J354" s="6">
        <v>159.32</v>
      </c>
      <c r="K354" s="6">
        <v>345573.41</v>
      </c>
      <c r="L354" s="6">
        <v>146.37</v>
      </c>
      <c r="M354" s="6">
        <v>345805.22</v>
      </c>
      <c r="N354" s="6">
        <v>181.98</v>
      </c>
    </row>
    <row r="355" spans="1:14" x14ac:dyDescent="0.2">
      <c r="A355" s="64" t="s">
        <v>9</v>
      </c>
      <c r="B355" s="64" t="s">
        <v>290</v>
      </c>
      <c r="C355" s="64">
        <v>22</v>
      </c>
      <c r="D355" s="64">
        <v>1</v>
      </c>
      <c r="E355" s="6">
        <v>369808.06</v>
      </c>
      <c r="F355" s="6">
        <v>223.43</v>
      </c>
      <c r="G355" s="6">
        <v>369072.73</v>
      </c>
      <c r="H355" s="6">
        <v>170.9</v>
      </c>
      <c r="I355" s="6">
        <v>369072.73</v>
      </c>
      <c r="J355" s="6">
        <v>170.9</v>
      </c>
      <c r="K355" s="6">
        <v>367097.02</v>
      </c>
      <c r="L355" s="6">
        <v>166.45</v>
      </c>
      <c r="M355" s="6">
        <v>369406.94</v>
      </c>
      <c r="N355" s="6">
        <v>147.41</v>
      </c>
    </row>
    <row r="356" spans="1:14" x14ac:dyDescent="0.2">
      <c r="A356" s="64"/>
      <c r="B356" s="64"/>
      <c r="C356" s="64"/>
      <c r="D356" s="64"/>
      <c r="E356" s="6"/>
      <c r="F356" s="6"/>
      <c r="G356" s="6"/>
      <c r="H356" s="6"/>
      <c r="I356" s="6"/>
      <c r="J356" s="6"/>
      <c r="K356" s="6"/>
      <c r="L356" s="6"/>
      <c r="M356" s="6"/>
      <c r="N356" s="6"/>
    </row>
    <row r="357" spans="1:14" x14ac:dyDescent="0.2">
      <c r="A357" s="64" t="s">
        <v>9</v>
      </c>
      <c r="B357" s="64" t="s">
        <v>290</v>
      </c>
      <c r="C357" s="64">
        <v>4</v>
      </c>
      <c r="D357" s="64">
        <v>0.5</v>
      </c>
      <c r="E357" s="6">
        <v>82624.59</v>
      </c>
      <c r="F357" s="6">
        <v>29.2</v>
      </c>
      <c r="G357" s="6">
        <v>82624.59</v>
      </c>
      <c r="H357" s="6">
        <v>29.6</v>
      </c>
      <c r="I357" s="6">
        <v>82624.59</v>
      </c>
      <c r="J357" s="6">
        <v>29.6</v>
      </c>
      <c r="K357" s="6">
        <v>84553.09</v>
      </c>
      <c r="L357" s="6">
        <v>29.63</v>
      </c>
      <c r="M357" s="6">
        <v>82624.59</v>
      </c>
      <c r="N357" s="6">
        <v>28.82</v>
      </c>
    </row>
    <row r="358" spans="1:14" x14ac:dyDescent="0.2">
      <c r="A358" s="64" t="s">
        <v>9</v>
      </c>
      <c r="B358" s="64" t="s">
        <v>290</v>
      </c>
      <c r="C358" s="64">
        <v>6</v>
      </c>
      <c r="D358" s="64">
        <v>0.5</v>
      </c>
      <c r="E358" s="6">
        <v>140314.45000000001</v>
      </c>
      <c r="F358" s="6">
        <v>47.63</v>
      </c>
      <c r="G358" s="6">
        <v>139446.84</v>
      </c>
      <c r="H358" s="6">
        <v>38.43</v>
      </c>
      <c r="I358" s="6">
        <v>139446.84</v>
      </c>
      <c r="J358" s="6">
        <v>38.43</v>
      </c>
      <c r="K358" s="6">
        <v>139446.84</v>
      </c>
      <c r="L358" s="6">
        <v>41.65</v>
      </c>
      <c r="M358" s="6">
        <v>140314.45000000001</v>
      </c>
      <c r="N358" s="6">
        <v>41.21</v>
      </c>
    </row>
    <row r="359" spans="1:14" x14ac:dyDescent="0.2">
      <c r="A359" s="64" t="s">
        <v>9</v>
      </c>
      <c r="B359" s="64" t="s">
        <v>290</v>
      </c>
      <c r="C359" s="64">
        <v>8</v>
      </c>
      <c r="D359" s="64">
        <v>0.5</v>
      </c>
      <c r="E359" s="6">
        <v>210195.63</v>
      </c>
      <c r="F359" s="6">
        <v>73.36</v>
      </c>
      <c r="G359" s="6">
        <v>210195.63</v>
      </c>
      <c r="H359" s="6">
        <v>84.49</v>
      </c>
      <c r="I359" s="6">
        <v>210195.63</v>
      </c>
      <c r="J359" s="6">
        <v>84.49</v>
      </c>
      <c r="K359" s="6">
        <v>210361.36</v>
      </c>
      <c r="L359" s="6">
        <v>62.2</v>
      </c>
      <c r="M359" s="6">
        <v>210195.63</v>
      </c>
      <c r="N359" s="6">
        <v>68.59</v>
      </c>
    </row>
    <row r="360" spans="1:14" x14ac:dyDescent="0.2">
      <c r="A360" s="64" t="s">
        <v>9</v>
      </c>
      <c r="B360" s="64" t="s">
        <v>290</v>
      </c>
      <c r="C360" s="64">
        <v>10</v>
      </c>
      <c r="D360" s="64">
        <v>0.5</v>
      </c>
      <c r="E360" s="6">
        <v>227586.63</v>
      </c>
      <c r="F360" s="6">
        <v>105.27</v>
      </c>
      <c r="G360" s="6">
        <v>227586.63</v>
      </c>
      <c r="H360" s="6">
        <v>111.64</v>
      </c>
      <c r="I360" s="6">
        <v>227586.63</v>
      </c>
      <c r="J360" s="6">
        <v>111.64</v>
      </c>
      <c r="K360" s="6">
        <v>227586.63</v>
      </c>
      <c r="L360" s="6">
        <v>95.25</v>
      </c>
      <c r="M360" s="6">
        <v>228356.58</v>
      </c>
      <c r="N360" s="6">
        <v>79.12</v>
      </c>
    </row>
    <row r="361" spans="1:14" x14ac:dyDescent="0.2">
      <c r="A361" s="64" t="s">
        <v>9</v>
      </c>
      <c r="B361" s="64" t="s">
        <v>290</v>
      </c>
      <c r="C361" s="64">
        <v>12</v>
      </c>
      <c r="D361" s="64">
        <v>0.5</v>
      </c>
      <c r="E361" s="6">
        <v>297722.33</v>
      </c>
      <c r="F361" s="6">
        <v>176.74</v>
      </c>
      <c r="G361" s="6">
        <v>296672.27</v>
      </c>
      <c r="H361" s="6">
        <v>225.05</v>
      </c>
      <c r="I361" s="6">
        <v>296672.27</v>
      </c>
      <c r="J361" s="6">
        <v>225.05</v>
      </c>
      <c r="K361" s="6">
        <v>295979</v>
      </c>
      <c r="L361" s="6">
        <v>121.38</v>
      </c>
      <c r="M361" s="6">
        <v>296672.27</v>
      </c>
      <c r="N361" s="6">
        <v>220.29</v>
      </c>
    </row>
    <row r="362" spans="1:14" x14ac:dyDescent="0.2">
      <c r="A362" s="64" t="s">
        <v>9</v>
      </c>
      <c r="B362" s="64" t="s">
        <v>290</v>
      </c>
      <c r="C362" s="64">
        <v>14</v>
      </c>
      <c r="D362" s="64">
        <v>0.5</v>
      </c>
      <c r="E362" s="6">
        <v>310538.86</v>
      </c>
      <c r="F362" s="6">
        <v>191.47</v>
      </c>
      <c r="G362" s="6">
        <v>311116.03999999998</v>
      </c>
      <c r="H362" s="6">
        <v>217.26</v>
      </c>
      <c r="I362" s="6">
        <v>311116.03999999998</v>
      </c>
      <c r="J362" s="6">
        <v>217.26</v>
      </c>
      <c r="K362" s="6">
        <v>310538.86</v>
      </c>
      <c r="L362" s="6">
        <v>193.8</v>
      </c>
      <c r="M362" s="6">
        <v>310938.84999999998</v>
      </c>
      <c r="N362" s="6">
        <v>175.01</v>
      </c>
    </row>
    <row r="363" spans="1:14" x14ac:dyDescent="0.2">
      <c r="A363" s="64" t="s">
        <v>9</v>
      </c>
      <c r="B363" s="64" t="s">
        <v>290</v>
      </c>
      <c r="C363" s="64">
        <v>16</v>
      </c>
      <c r="D363" s="64">
        <v>0.5</v>
      </c>
      <c r="E363" s="6">
        <v>387823</v>
      </c>
      <c r="F363" s="6">
        <v>338.81</v>
      </c>
      <c r="G363" s="6">
        <v>384933.8</v>
      </c>
      <c r="H363" s="6">
        <v>346.54</v>
      </c>
      <c r="I363" s="6">
        <v>384933.8</v>
      </c>
      <c r="J363" s="6">
        <v>346.54</v>
      </c>
      <c r="K363" s="6">
        <v>384933.8</v>
      </c>
      <c r="L363" s="6">
        <v>320.36</v>
      </c>
      <c r="M363" s="6">
        <v>384933.8</v>
      </c>
      <c r="N363" s="6">
        <v>304.64999999999998</v>
      </c>
    </row>
    <row r="364" spans="1:14" x14ac:dyDescent="0.2">
      <c r="A364" s="64" t="s">
        <v>9</v>
      </c>
      <c r="B364" s="64" t="s">
        <v>290</v>
      </c>
      <c r="C364" s="64">
        <v>18</v>
      </c>
      <c r="D364" s="64">
        <v>0.5</v>
      </c>
      <c r="E364" s="6">
        <v>446896.37</v>
      </c>
      <c r="F364" s="6">
        <v>555.29999999999995</v>
      </c>
      <c r="G364" s="6">
        <v>447098.37</v>
      </c>
      <c r="H364" s="6">
        <v>526.25</v>
      </c>
      <c r="I364" s="6">
        <v>447098.37</v>
      </c>
      <c r="J364" s="6">
        <v>526.25</v>
      </c>
      <c r="K364" s="6">
        <v>447946.39</v>
      </c>
      <c r="L364" s="6">
        <v>456.36</v>
      </c>
      <c r="M364" s="6">
        <v>446772.78</v>
      </c>
      <c r="N364" s="6">
        <v>467.99</v>
      </c>
    </row>
    <row r="365" spans="1:14" x14ac:dyDescent="0.2">
      <c r="A365" s="64" t="s">
        <v>9</v>
      </c>
      <c r="B365" s="64" t="s">
        <v>290</v>
      </c>
      <c r="C365" s="64">
        <v>20</v>
      </c>
      <c r="D365" s="64">
        <v>0.5</v>
      </c>
      <c r="E365" s="6">
        <v>459046.89</v>
      </c>
      <c r="F365" s="6">
        <v>533.08000000000004</v>
      </c>
      <c r="G365" s="6">
        <v>459363.47</v>
      </c>
      <c r="H365" s="6">
        <v>607.17999999999995</v>
      </c>
      <c r="I365" s="6">
        <v>459363.47</v>
      </c>
      <c r="J365" s="6">
        <v>607.17999999999995</v>
      </c>
      <c r="K365" s="6">
        <v>458203.17</v>
      </c>
      <c r="L365" s="6">
        <v>553.74</v>
      </c>
      <c r="M365" s="6">
        <v>458837.45</v>
      </c>
      <c r="N365" s="6">
        <v>439.48</v>
      </c>
    </row>
    <row r="366" spans="1:14" x14ac:dyDescent="0.2">
      <c r="A366" s="64" t="s">
        <v>9</v>
      </c>
      <c r="B366" s="64" t="s">
        <v>290</v>
      </c>
      <c r="C366" s="64">
        <v>22</v>
      </c>
      <c r="D366" s="64">
        <v>0.5</v>
      </c>
      <c r="E366" s="6">
        <v>482117.94</v>
      </c>
      <c r="F366" s="6">
        <v>500.33</v>
      </c>
      <c r="G366" s="6">
        <v>484087.46</v>
      </c>
      <c r="H366" s="6">
        <v>514.46</v>
      </c>
      <c r="I366" s="6">
        <v>484087.46</v>
      </c>
      <c r="J366" s="6">
        <v>514.46</v>
      </c>
      <c r="K366" s="6">
        <v>483159.07</v>
      </c>
      <c r="L366" s="6">
        <v>367.54</v>
      </c>
      <c r="M366" s="6">
        <v>483390.61</v>
      </c>
      <c r="N366" s="6">
        <v>345.74</v>
      </c>
    </row>
    <row r="367" spans="1:14" x14ac:dyDescent="0.2">
      <c r="B367" s="64"/>
      <c r="E367" s="6"/>
      <c r="F367" s="6"/>
      <c r="G367" s="6"/>
      <c r="H367" s="6"/>
      <c r="I367" s="6"/>
      <c r="J367" s="6"/>
      <c r="K367" s="6"/>
      <c r="L367" s="6"/>
      <c r="M367" s="6"/>
      <c r="N367" s="6"/>
    </row>
    <row r="368" spans="1:14" x14ac:dyDescent="0.2">
      <c r="A368" s="64" t="s">
        <v>9</v>
      </c>
      <c r="B368" s="64" t="s">
        <v>290</v>
      </c>
      <c r="C368" s="64">
        <v>4</v>
      </c>
      <c r="D368" s="64">
        <v>0.3</v>
      </c>
      <c r="E368" s="6">
        <v>99459</v>
      </c>
      <c r="F368" s="6">
        <v>27.66</v>
      </c>
      <c r="G368" s="6">
        <v>99459</v>
      </c>
      <c r="H368" s="6">
        <v>27.8</v>
      </c>
      <c r="I368" s="6">
        <v>99459</v>
      </c>
      <c r="J368" s="6">
        <v>27.8</v>
      </c>
      <c r="K368" s="6">
        <v>99459</v>
      </c>
      <c r="L368" s="6">
        <v>28.18</v>
      </c>
      <c r="M368" s="6">
        <v>99459</v>
      </c>
      <c r="N368" s="6">
        <v>27.99</v>
      </c>
    </row>
    <row r="369" spans="1:14" x14ac:dyDescent="0.2">
      <c r="A369" s="64" t="s">
        <v>9</v>
      </c>
      <c r="B369" s="64" t="s">
        <v>290</v>
      </c>
      <c r="C369" s="64">
        <v>6</v>
      </c>
      <c r="D369" s="64">
        <v>0.3</v>
      </c>
      <c r="E369" s="6">
        <v>172684.83</v>
      </c>
      <c r="F369" s="6">
        <v>58.88</v>
      </c>
      <c r="G369" s="6">
        <v>172684.83</v>
      </c>
      <c r="H369" s="6">
        <v>59.57</v>
      </c>
      <c r="I369" s="6">
        <v>172684.83</v>
      </c>
      <c r="J369" s="6">
        <v>59.57</v>
      </c>
      <c r="K369" s="6">
        <v>172684.83</v>
      </c>
      <c r="L369" s="6">
        <v>72.5</v>
      </c>
      <c r="M369" s="6">
        <v>172684.83</v>
      </c>
      <c r="N369" s="6">
        <v>57.36</v>
      </c>
    </row>
    <row r="370" spans="1:14" x14ac:dyDescent="0.2">
      <c r="A370" s="64" t="s">
        <v>9</v>
      </c>
      <c r="B370" s="64" t="s">
        <v>290</v>
      </c>
      <c r="C370" s="64">
        <v>8</v>
      </c>
      <c r="D370" s="64">
        <v>0.3</v>
      </c>
      <c r="E370" s="6">
        <v>256197.47</v>
      </c>
      <c r="F370" s="6">
        <v>120</v>
      </c>
      <c r="G370" s="6">
        <v>257328.86</v>
      </c>
      <c r="H370" s="6">
        <v>97.6</v>
      </c>
      <c r="I370" s="6">
        <v>257328.86</v>
      </c>
      <c r="J370" s="6">
        <v>97.6</v>
      </c>
      <c r="K370" s="6">
        <v>257311.47</v>
      </c>
      <c r="L370" s="6">
        <v>85.34</v>
      </c>
      <c r="M370" s="6">
        <v>259044.71</v>
      </c>
      <c r="N370" s="6">
        <v>112.33</v>
      </c>
    </row>
    <row r="371" spans="1:14" x14ac:dyDescent="0.2">
      <c r="A371" s="64" t="s">
        <v>9</v>
      </c>
      <c r="B371" s="64" t="s">
        <v>290</v>
      </c>
      <c r="C371" s="64">
        <v>10</v>
      </c>
      <c r="D371" s="64">
        <v>0.3</v>
      </c>
      <c r="E371" s="6">
        <v>278996.17</v>
      </c>
      <c r="F371" s="6">
        <v>261.45999999999998</v>
      </c>
      <c r="G371" s="6">
        <v>278996.17</v>
      </c>
      <c r="H371" s="6">
        <v>230.03</v>
      </c>
      <c r="I371" s="6">
        <v>278996.17</v>
      </c>
      <c r="J371" s="6">
        <v>230.03</v>
      </c>
      <c r="K371" s="6">
        <v>278463.05</v>
      </c>
      <c r="L371" s="6">
        <v>166.58</v>
      </c>
      <c r="M371" s="6">
        <v>279053.42</v>
      </c>
      <c r="N371" s="6">
        <v>203.96</v>
      </c>
    </row>
    <row r="372" spans="1:14" x14ac:dyDescent="0.2">
      <c r="A372" s="64" t="s">
        <v>9</v>
      </c>
      <c r="B372" s="64" t="s">
        <v>290</v>
      </c>
      <c r="C372" s="64">
        <v>12</v>
      </c>
      <c r="D372" s="64">
        <v>0.3</v>
      </c>
      <c r="E372" s="6">
        <v>364726.17</v>
      </c>
      <c r="F372" s="6">
        <v>641.69000000000005</v>
      </c>
      <c r="G372" s="6">
        <v>363046.77</v>
      </c>
      <c r="H372" s="6">
        <v>484.8</v>
      </c>
      <c r="I372" s="6">
        <v>363046.77</v>
      </c>
      <c r="J372" s="6">
        <v>484.8</v>
      </c>
      <c r="K372" s="6">
        <v>361659.63</v>
      </c>
      <c r="L372" s="6">
        <v>420.68</v>
      </c>
      <c r="M372" s="6">
        <v>363469.58</v>
      </c>
      <c r="N372" s="6">
        <v>448.28</v>
      </c>
    </row>
    <row r="373" spans="1:14" x14ac:dyDescent="0.2">
      <c r="A373" s="64" t="s">
        <v>9</v>
      </c>
      <c r="B373" s="64" t="s">
        <v>290</v>
      </c>
      <c r="C373" s="64">
        <v>14</v>
      </c>
      <c r="D373" s="64">
        <v>0.3</v>
      </c>
      <c r="E373" s="6">
        <v>381404.34</v>
      </c>
      <c r="F373" s="6">
        <v>546.96</v>
      </c>
      <c r="G373" s="6">
        <v>381404.34</v>
      </c>
      <c r="H373" s="6">
        <v>830.87</v>
      </c>
      <c r="I373" s="6">
        <v>381404.34</v>
      </c>
      <c r="J373" s="6">
        <v>830.87</v>
      </c>
      <c r="K373" s="6">
        <v>381404.34</v>
      </c>
      <c r="L373" s="6">
        <v>654.69000000000005</v>
      </c>
      <c r="M373" s="6">
        <v>381404.34</v>
      </c>
      <c r="N373" s="6">
        <v>439.81</v>
      </c>
    </row>
    <row r="374" spans="1:14" x14ac:dyDescent="0.2">
      <c r="A374" s="64" t="s">
        <v>9</v>
      </c>
      <c r="B374" s="64" t="s">
        <v>290</v>
      </c>
      <c r="C374" s="64">
        <v>16</v>
      </c>
      <c r="D374" s="64">
        <v>0.3</v>
      </c>
      <c r="E374" s="6">
        <v>478853.4</v>
      </c>
      <c r="F374" s="6">
        <v>1293</v>
      </c>
      <c r="G374" s="6">
        <v>478608.88</v>
      </c>
      <c r="H374" s="6">
        <v>1260.58</v>
      </c>
      <c r="I374" s="6">
        <v>478608.88</v>
      </c>
      <c r="J374" s="6">
        <v>1260.58</v>
      </c>
      <c r="K374" s="6">
        <v>476130.5</v>
      </c>
      <c r="L374" s="6">
        <v>877.8</v>
      </c>
      <c r="M374" s="6">
        <v>476130.5</v>
      </c>
      <c r="N374" s="6">
        <v>1032.44</v>
      </c>
    </row>
    <row r="375" spans="1:14" x14ac:dyDescent="0.2">
      <c r="A375" s="64" t="s">
        <v>9</v>
      </c>
      <c r="B375" s="64" t="s">
        <v>290</v>
      </c>
      <c r="C375" s="64">
        <v>18</v>
      </c>
      <c r="D375" s="64">
        <v>0.3</v>
      </c>
      <c r="E375" s="6">
        <v>539944.17000000004</v>
      </c>
      <c r="F375" s="6">
        <v>1965.37</v>
      </c>
      <c r="G375" s="6">
        <v>544597.57999999996</v>
      </c>
      <c r="H375" s="6">
        <v>1765.45</v>
      </c>
      <c r="I375" s="6">
        <v>544597.57999999996</v>
      </c>
      <c r="J375" s="6">
        <v>1765.45</v>
      </c>
      <c r="K375" s="6">
        <v>539573.5</v>
      </c>
      <c r="L375" s="6">
        <v>1591.56</v>
      </c>
      <c r="M375" s="6">
        <v>540580.56000000006</v>
      </c>
      <c r="N375" s="6">
        <v>1512.69</v>
      </c>
    </row>
    <row r="376" spans="1:14" x14ac:dyDescent="0.2">
      <c r="A376" s="64" t="s">
        <v>9</v>
      </c>
      <c r="B376" s="64" t="s">
        <v>290</v>
      </c>
      <c r="C376" s="64">
        <v>20</v>
      </c>
      <c r="D376" s="64">
        <v>0.3</v>
      </c>
      <c r="E376" s="6">
        <v>549020.26</v>
      </c>
      <c r="F376" s="6">
        <v>2990.12</v>
      </c>
      <c r="G376" s="6">
        <v>551396.46</v>
      </c>
      <c r="H376" s="6">
        <v>2768.98</v>
      </c>
      <c r="I376" s="6">
        <v>551396.46</v>
      </c>
      <c r="J376" s="6">
        <v>2768.98</v>
      </c>
      <c r="K376" s="6">
        <v>559781.76</v>
      </c>
      <c r="L376" s="6">
        <v>1806.7</v>
      </c>
      <c r="M376" s="6">
        <v>561633.88</v>
      </c>
      <c r="N376" s="6">
        <v>2318.85</v>
      </c>
    </row>
    <row r="377" spans="1:14" x14ac:dyDescent="0.2">
      <c r="A377" s="64" t="s">
        <v>9</v>
      </c>
      <c r="B377" s="64" t="s">
        <v>290</v>
      </c>
      <c r="C377" s="64">
        <v>22</v>
      </c>
      <c r="D377" s="64">
        <v>0.3</v>
      </c>
      <c r="E377" s="6">
        <v>574584.67000000004</v>
      </c>
      <c r="F377" s="6">
        <v>2883.6</v>
      </c>
      <c r="G377" s="6">
        <v>574636.63</v>
      </c>
      <c r="H377" s="6">
        <v>2049.86</v>
      </c>
      <c r="I377" s="6">
        <v>574636.63</v>
      </c>
      <c r="J377" s="6">
        <v>2049.86</v>
      </c>
      <c r="K377" s="6">
        <v>573601.66</v>
      </c>
      <c r="L377" s="6">
        <v>1973.58</v>
      </c>
      <c r="M377" s="6">
        <v>571188.93999999994</v>
      </c>
      <c r="N377" s="6">
        <v>2079.7800000000002</v>
      </c>
    </row>
    <row r="378" spans="1:14" x14ac:dyDescent="0.2">
      <c r="A378" s="66"/>
      <c r="B378" s="66"/>
      <c r="C378" s="66"/>
      <c r="D378" s="66"/>
      <c r="E378" s="5"/>
      <c r="F378" s="5"/>
      <c r="G378" s="67"/>
      <c r="H378" s="67"/>
      <c r="I378" s="67"/>
      <c r="J378" s="67"/>
      <c r="K378" s="67"/>
      <c r="L378" s="67"/>
      <c r="M378" s="67"/>
      <c r="N378" s="67"/>
    </row>
    <row r="379" spans="1:14" x14ac:dyDescent="0.2">
      <c r="A379" s="64" t="s">
        <v>10</v>
      </c>
      <c r="B379" s="64" t="s">
        <v>290</v>
      </c>
      <c r="C379" s="64">
        <v>4</v>
      </c>
      <c r="D379" s="64">
        <v>1</v>
      </c>
      <c r="E379" s="6">
        <v>57884.2</v>
      </c>
      <c r="F379" s="6">
        <v>27.08</v>
      </c>
      <c r="G379" s="6">
        <v>57884.2</v>
      </c>
      <c r="H379" s="6">
        <v>25.04</v>
      </c>
      <c r="I379" s="6">
        <v>57884.2</v>
      </c>
      <c r="J379" s="6">
        <v>25.04</v>
      </c>
      <c r="K379" s="6">
        <v>57884.2</v>
      </c>
      <c r="L379" s="6">
        <v>25.31</v>
      </c>
      <c r="M379" s="6">
        <v>57884.2</v>
      </c>
      <c r="N379" s="6">
        <v>25.36</v>
      </c>
    </row>
    <row r="380" spans="1:14" x14ac:dyDescent="0.2">
      <c r="A380" s="64" t="s">
        <v>10</v>
      </c>
      <c r="B380" s="64" t="s">
        <v>290</v>
      </c>
      <c r="C380" s="64">
        <v>6</v>
      </c>
      <c r="D380" s="64">
        <v>1</v>
      </c>
      <c r="E380" s="6">
        <v>115338.73</v>
      </c>
      <c r="F380" s="6">
        <v>34.83</v>
      </c>
      <c r="G380" s="6">
        <v>115338.73</v>
      </c>
      <c r="H380" s="6">
        <v>39.6</v>
      </c>
      <c r="I380" s="6">
        <v>115338.73</v>
      </c>
      <c r="J380" s="6">
        <v>39.6</v>
      </c>
      <c r="K380" s="6">
        <v>115338.73</v>
      </c>
      <c r="L380" s="6">
        <v>36.880000000000003</v>
      </c>
      <c r="M380" s="6">
        <v>115338.73</v>
      </c>
      <c r="N380" s="6">
        <v>36.03</v>
      </c>
    </row>
    <row r="381" spans="1:14" x14ac:dyDescent="0.2">
      <c r="A381" s="64" t="s">
        <v>10</v>
      </c>
      <c r="B381" s="64" t="s">
        <v>290</v>
      </c>
      <c r="C381" s="64">
        <v>8</v>
      </c>
      <c r="D381" s="64">
        <v>1</v>
      </c>
      <c r="E381" s="6">
        <v>137864.81</v>
      </c>
      <c r="F381" s="6">
        <v>42.51</v>
      </c>
      <c r="G381" s="6">
        <v>137864.81</v>
      </c>
      <c r="H381" s="6">
        <v>49.36</v>
      </c>
      <c r="I381" s="6">
        <v>137864.81</v>
      </c>
      <c r="J381" s="6">
        <v>49.36</v>
      </c>
      <c r="K381" s="6">
        <v>137864.81</v>
      </c>
      <c r="L381" s="6">
        <v>45.66</v>
      </c>
      <c r="M381" s="6">
        <v>137864.81</v>
      </c>
      <c r="N381" s="6">
        <v>45.8</v>
      </c>
    </row>
    <row r="382" spans="1:14" x14ac:dyDescent="0.2">
      <c r="A382" s="64" t="s">
        <v>10</v>
      </c>
      <c r="B382" s="64" t="s">
        <v>290</v>
      </c>
      <c r="C382" s="64">
        <v>10</v>
      </c>
      <c r="D382" s="64">
        <v>1</v>
      </c>
      <c r="E382" s="6">
        <v>178542.4</v>
      </c>
      <c r="F382" s="6">
        <v>62.24</v>
      </c>
      <c r="G382" s="6">
        <v>178542.4</v>
      </c>
      <c r="H382" s="6">
        <v>74.05</v>
      </c>
      <c r="I382" s="6">
        <v>178542.4</v>
      </c>
      <c r="J382" s="6">
        <v>74.05</v>
      </c>
      <c r="K382" s="6">
        <v>178542.4</v>
      </c>
      <c r="L382" s="6">
        <v>58.06</v>
      </c>
      <c r="M382" s="6">
        <v>178542.4</v>
      </c>
      <c r="N382" s="6">
        <v>72.03</v>
      </c>
    </row>
    <row r="383" spans="1:14" x14ac:dyDescent="0.2">
      <c r="A383" s="64" t="s">
        <v>10</v>
      </c>
      <c r="B383" s="64" t="s">
        <v>290</v>
      </c>
      <c r="C383" s="64">
        <v>12</v>
      </c>
      <c r="D383" s="64">
        <v>1</v>
      </c>
      <c r="E383" s="6">
        <v>226327.79</v>
      </c>
      <c r="F383" s="6">
        <v>84.24</v>
      </c>
      <c r="G383" s="6">
        <v>226327.79</v>
      </c>
      <c r="H383" s="6">
        <v>107.95</v>
      </c>
      <c r="I383" s="6">
        <v>226327.79</v>
      </c>
      <c r="J383" s="6">
        <v>107.95</v>
      </c>
      <c r="K383" s="6">
        <v>226327.79</v>
      </c>
      <c r="L383" s="6">
        <v>95.35</v>
      </c>
      <c r="M383" s="6">
        <v>226327.79</v>
      </c>
      <c r="N383" s="6">
        <v>97.76</v>
      </c>
    </row>
    <row r="384" spans="1:14" x14ac:dyDescent="0.2">
      <c r="A384" s="64" t="s">
        <v>10</v>
      </c>
      <c r="B384" s="64" t="s">
        <v>290</v>
      </c>
      <c r="C384" s="64">
        <v>14</v>
      </c>
      <c r="D384" s="64">
        <v>1</v>
      </c>
      <c r="E384" s="6">
        <v>235215.14</v>
      </c>
      <c r="F384" s="6">
        <v>111.33</v>
      </c>
      <c r="G384" s="6">
        <v>235215.14</v>
      </c>
      <c r="H384" s="6">
        <v>124.61</v>
      </c>
      <c r="I384" s="6">
        <v>235215.14</v>
      </c>
      <c r="J384" s="6">
        <v>124.61</v>
      </c>
      <c r="K384" s="6">
        <v>235215.14</v>
      </c>
      <c r="L384" s="6">
        <v>105.84</v>
      </c>
      <c r="M384" s="6">
        <v>235215.14</v>
      </c>
      <c r="N384" s="6">
        <v>121.32</v>
      </c>
    </row>
    <row r="385" spans="1:14" x14ac:dyDescent="0.2">
      <c r="A385" s="64" t="s">
        <v>10</v>
      </c>
      <c r="B385" s="64" t="s">
        <v>290</v>
      </c>
      <c r="C385" s="64">
        <v>16</v>
      </c>
      <c r="D385" s="64">
        <v>1</v>
      </c>
      <c r="E385" s="6">
        <v>288695.8</v>
      </c>
      <c r="F385" s="6">
        <v>145.88</v>
      </c>
      <c r="G385" s="6">
        <v>289898.26</v>
      </c>
      <c r="H385" s="6">
        <v>142.28</v>
      </c>
      <c r="I385" s="6">
        <v>289898.26</v>
      </c>
      <c r="J385" s="6">
        <v>142.28</v>
      </c>
      <c r="K385" s="6">
        <v>288695.8</v>
      </c>
      <c r="L385" s="6">
        <v>143.06</v>
      </c>
      <c r="M385" s="6">
        <v>288695.8</v>
      </c>
      <c r="N385" s="6">
        <v>140.69999999999999</v>
      </c>
    </row>
    <row r="386" spans="1:14" x14ac:dyDescent="0.2">
      <c r="A386" s="64" t="s">
        <v>10</v>
      </c>
      <c r="B386" s="64" t="s">
        <v>290</v>
      </c>
      <c r="C386" s="64">
        <v>18</v>
      </c>
      <c r="D386" s="64">
        <v>1</v>
      </c>
      <c r="E386" s="6">
        <v>337636.56</v>
      </c>
      <c r="F386" s="6">
        <v>232.59</v>
      </c>
      <c r="G386" s="6">
        <v>313763.81</v>
      </c>
      <c r="H386" s="6">
        <v>131.24</v>
      </c>
      <c r="I386" s="6">
        <v>313763.81</v>
      </c>
      <c r="J386" s="6">
        <v>131.24</v>
      </c>
      <c r="K386" s="6">
        <v>311177.36</v>
      </c>
      <c r="L386" s="6">
        <v>126.9</v>
      </c>
      <c r="M386" s="6">
        <v>312687.53000000003</v>
      </c>
      <c r="N386" s="6">
        <v>120.26</v>
      </c>
    </row>
    <row r="387" spans="1:14" x14ac:dyDescent="0.2">
      <c r="A387" s="64" t="s">
        <v>10</v>
      </c>
      <c r="B387" s="64" t="s">
        <v>290</v>
      </c>
      <c r="C387" s="64">
        <v>20</v>
      </c>
      <c r="D387" s="64">
        <v>1</v>
      </c>
      <c r="E387" s="6">
        <v>345210.24</v>
      </c>
      <c r="F387" s="6">
        <v>188.47</v>
      </c>
      <c r="G387" s="6">
        <v>345289.9</v>
      </c>
      <c r="H387" s="6">
        <v>225.86</v>
      </c>
      <c r="I387" s="6">
        <v>345289.9</v>
      </c>
      <c r="J387" s="6">
        <v>225.86</v>
      </c>
      <c r="K387" s="6">
        <v>345210.24</v>
      </c>
      <c r="L387" s="6">
        <v>230.56</v>
      </c>
      <c r="M387" s="6">
        <v>345210.24</v>
      </c>
      <c r="N387" s="6">
        <v>254.64</v>
      </c>
    </row>
    <row r="388" spans="1:14" x14ac:dyDescent="0.2">
      <c r="A388" s="64" t="s">
        <v>10</v>
      </c>
      <c r="B388" s="64" t="s">
        <v>290</v>
      </c>
      <c r="C388" s="64">
        <v>22</v>
      </c>
      <c r="D388" s="64">
        <v>1</v>
      </c>
      <c r="E388" s="6">
        <v>371973.34</v>
      </c>
      <c r="F388" s="6">
        <v>123.5</v>
      </c>
      <c r="G388" s="6">
        <v>372033.43</v>
      </c>
      <c r="H388" s="6">
        <v>144.83000000000001</v>
      </c>
      <c r="I388" s="6">
        <v>372033.43</v>
      </c>
      <c r="J388" s="6">
        <v>144.83000000000001</v>
      </c>
      <c r="K388" s="6">
        <v>371973.34</v>
      </c>
      <c r="L388" s="6">
        <v>122.86</v>
      </c>
      <c r="M388" s="6">
        <v>374316.73</v>
      </c>
      <c r="N388" s="6">
        <v>197.86</v>
      </c>
    </row>
    <row r="389" spans="1:14" x14ac:dyDescent="0.2">
      <c r="A389" s="64"/>
      <c r="B389" s="64"/>
      <c r="C389" s="64"/>
      <c r="D389" s="64"/>
      <c r="E389" s="6"/>
      <c r="F389" s="6"/>
      <c r="G389" s="6"/>
      <c r="H389" s="6"/>
      <c r="I389" s="6"/>
      <c r="J389" s="6"/>
      <c r="K389" s="6"/>
      <c r="L389" s="6"/>
      <c r="M389" s="6"/>
      <c r="N389" s="6"/>
    </row>
    <row r="390" spans="1:14" x14ac:dyDescent="0.2">
      <c r="A390" s="64" t="s">
        <v>10</v>
      </c>
      <c r="B390" s="64" t="s">
        <v>290</v>
      </c>
      <c r="C390" s="64">
        <v>4</v>
      </c>
      <c r="D390" s="64">
        <v>0.5</v>
      </c>
      <c r="E390" s="6">
        <v>82923.94</v>
      </c>
      <c r="F390" s="6">
        <v>27.57</v>
      </c>
      <c r="G390" s="6">
        <v>82923.94</v>
      </c>
      <c r="H390" s="6">
        <v>32.229999999999997</v>
      </c>
      <c r="I390" s="6">
        <v>82923.94</v>
      </c>
      <c r="J390" s="6">
        <v>32.229999999999997</v>
      </c>
      <c r="K390" s="6">
        <v>82923.94</v>
      </c>
      <c r="L390" s="6">
        <v>29.12</v>
      </c>
      <c r="M390" s="6">
        <v>82923.94</v>
      </c>
      <c r="N390" s="6">
        <v>28.24</v>
      </c>
    </row>
    <row r="391" spans="1:14" x14ac:dyDescent="0.2">
      <c r="A391" s="64" t="s">
        <v>10</v>
      </c>
      <c r="B391" s="64" t="s">
        <v>290</v>
      </c>
      <c r="C391" s="64">
        <v>6</v>
      </c>
      <c r="D391" s="64">
        <v>0.5</v>
      </c>
      <c r="E391" s="6">
        <v>168942.83</v>
      </c>
      <c r="F391" s="6">
        <v>157.44999999999999</v>
      </c>
      <c r="G391" s="6">
        <v>168942.83</v>
      </c>
      <c r="H391" s="6">
        <v>209.36</v>
      </c>
      <c r="I391" s="6">
        <v>168942.83</v>
      </c>
      <c r="J391" s="6">
        <v>209.36</v>
      </c>
      <c r="K391" s="6">
        <v>168942.83</v>
      </c>
      <c r="L391" s="6">
        <v>202.6</v>
      </c>
      <c r="M391" s="6">
        <v>168942.83</v>
      </c>
      <c r="N391" s="6">
        <v>150.36000000000001</v>
      </c>
    </row>
    <row r="392" spans="1:14" x14ac:dyDescent="0.2">
      <c r="A392" s="64" t="s">
        <v>10</v>
      </c>
      <c r="B392" s="64" t="s">
        <v>290</v>
      </c>
      <c r="C392" s="64">
        <v>8</v>
      </c>
      <c r="D392" s="64">
        <v>0.5</v>
      </c>
      <c r="E392" s="6">
        <v>216072.34</v>
      </c>
      <c r="F392" s="6">
        <v>196.58</v>
      </c>
      <c r="G392" s="6">
        <v>216072.34</v>
      </c>
      <c r="H392" s="6">
        <v>252.22</v>
      </c>
      <c r="I392" s="6">
        <v>216072.34</v>
      </c>
      <c r="J392" s="6">
        <v>252.22</v>
      </c>
      <c r="K392" s="6">
        <v>216072.34</v>
      </c>
      <c r="L392" s="6">
        <v>311.41000000000003</v>
      </c>
      <c r="M392" s="6">
        <v>236652.75</v>
      </c>
      <c r="N392" s="6">
        <v>177.13</v>
      </c>
    </row>
    <row r="393" spans="1:14" x14ac:dyDescent="0.2">
      <c r="A393" s="64" t="s">
        <v>10</v>
      </c>
      <c r="B393" s="64" t="s">
        <v>290</v>
      </c>
      <c r="C393" s="64">
        <v>10</v>
      </c>
      <c r="D393" s="64">
        <v>0.5</v>
      </c>
      <c r="E393" s="6">
        <v>241965.98</v>
      </c>
      <c r="F393" s="6">
        <v>151.34</v>
      </c>
      <c r="G393" s="6">
        <v>242000.59</v>
      </c>
      <c r="H393" s="6">
        <v>169.36</v>
      </c>
      <c r="I393" s="6">
        <v>242000.59</v>
      </c>
      <c r="J393" s="6">
        <v>169.36</v>
      </c>
      <c r="K393" s="6">
        <v>242000.59</v>
      </c>
      <c r="L393" s="6">
        <v>153.58000000000001</v>
      </c>
      <c r="M393" s="6">
        <v>243521.64</v>
      </c>
      <c r="N393" s="6">
        <v>93.64</v>
      </c>
    </row>
    <row r="394" spans="1:14" x14ac:dyDescent="0.2">
      <c r="A394" s="64" t="s">
        <v>10</v>
      </c>
      <c r="B394" s="64" t="s">
        <v>290</v>
      </c>
      <c r="C394" s="64">
        <v>12</v>
      </c>
      <c r="D394" s="64">
        <v>0.5</v>
      </c>
      <c r="E394" s="6">
        <v>309059.63</v>
      </c>
      <c r="F394" s="6">
        <v>454.89</v>
      </c>
      <c r="G394" s="6">
        <v>310370.40999999997</v>
      </c>
      <c r="H394" s="6">
        <v>250.65</v>
      </c>
      <c r="I394" s="6">
        <v>310370.40999999997</v>
      </c>
      <c r="J394" s="6">
        <v>250.65</v>
      </c>
      <c r="K394" s="6">
        <v>308793.09000000003</v>
      </c>
      <c r="L394" s="6">
        <v>371.31</v>
      </c>
      <c r="M394" s="6">
        <v>308053.06</v>
      </c>
      <c r="N394" s="6">
        <v>251.17</v>
      </c>
    </row>
    <row r="395" spans="1:14" x14ac:dyDescent="0.2">
      <c r="A395" s="64" t="s">
        <v>10</v>
      </c>
      <c r="B395" s="64" t="s">
        <v>290</v>
      </c>
      <c r="C395" s="64">
        <v>14</v>
      </c>
      <c r="D395" s="64">
        <v>0.5</v>
      </c>
      <c r="E395" s="6">
        <v>319905.51</v>
      </c>
      <c r="F395" s="6">
        <v>580.76</v>
      </c>
      <c r="G395" s="6">
        <v>320438.43</v>
      </c>
      <c r="H395" s="6">
        <v>508.36</v>
      </c>
      <c r="I395" s="6">
        <v>320438.43</v>
      </c>
      <c r="J395" s="6">
        <v>508.36</v>
      </c>
      <c r="K395" s="6">
        <v>319905.51</v>
      </c>
      <c r="L395" s="6">
        <v>500.7</v>
      </c>
      <c r="M395" s="6">
        <v>321143.15000000002</v>
      </c>
      <c r="N395" s="6">
        <v>214.35</v>
      </c>
    </row>
    <row r="396" spans="1:14" x14ac:dyDescent="0.2">
      <c r="A396" s="64" t="s">
        <v>10</v>
      </c>
      <c r="B396" s="64" t="s">
        <v>290</v>
      </c>
      <c r="C396" s="64">
        <v>16</v>
      </c>
      <c r="D396" s="64">
        <v>0.5</v>
      </c>
      <c r="E396" s="6">
        <v>378020.15</v>
      </c>
      <c r="F396" s="6">
        <v>718.25</v>
      </c>
      <c r="G396" s="6">
        <v>375186.04</v>
      </c>
      <c r="H396" s="6">
        <v>663.05</v>
      </c>
      <c r="I396" s="6">
        <v>375186.04</v>
      </c>
      <c r="J396" s="6">
        <v>663.05</v>
      </c>
      <c r="K396" s="6">
        <v>378385.39</v>
      </c>
      <c r="L396" s="6">
        <v>586.30999999999995</v>
      </c>
      <c r="M396" s="6">
        <v>377277.96</v>
      </c>
      <c r="N396" s="6">
        <v>412.09</v>
      </c>
    </row>
    <row r="397" spans="1:14" x14ac:dyDescent="0.2">
      <c r="A397" s="64" t="s">
        <v>10</v>
      </c>
      <c r="B397" s="64" t="s">
        <v>290</v>
      </c>
      <c r="C397" s="64">
        <v>18</v>
      </c>
      <c r="D397" s="64">
        <v>0.5</v>
      </c>
      <c r="E397" s="6">
        <v>408075.11</v>
      </c>
      <c r="F397" s="6">
        <v>599.46</v>
      </c>
      <c r="G397" s="6">
        <v>408075.11</v>
      </c>
      <c r="H397" s="6">
        <v>515.97</v>
      </c>
      <c r="I397" s="6">
        <v>408075.11</v>
      </c>
      <c r="J397" s="6">
        <v>515.97</v>
      </c>
      <c r="K397" s="6">
        <v>408868.24</v>
      </c>
      <c r="L397" s="6">
        <v>633.58000000000004</v>
      </c>
      <c r="M397" s="6">
        <v>410061.08</v>
      </c>
      <c r="N397" s="6">
        <v>380.53</v>
      </c>
    </row>
    <row r="398" spans="1:14" x14ac:dyDescent="0.2">
      <c r="A398" s="64" t="s">
        <v>10</v>
      </c>
      <c r="B398" s="64" t="s">
        <v>290</v>
      </c>
      <c r="C398" s="64">
        <v>20</v>
      </c>
      <c r="D398" s="64">
        <v>0.5</v>
      </c>
      <c r="E398" s="6">
        <v>456335.19</v>
      </c>
      <c r="F398" s="6">
        <v>430.63</v>
      </c>
      <c r="G398" s="6">
        <v>457807.74</v>
      </c>
      <c r="H398" s="6">
        <v>1004.53</v>
      </c>
      <c r="I398" s="6">
        <v>457807.74</v>
      </c>
      <c r="J398" s="6">
        <v>1004.53</v>
      </c>
      <c r="K398" s="6">
        <v>456262.8</v>
      </c>
      <c r="L398" s="6">
        <v>566.36</v>
      </c>
      <c r="M398" s="6">
        <v>456798.89</v>
      </c>
      <c r="N398" s="6">
        <v>479.73</v>
      </c>
    </row>
    <row r="399" spans="1:14" x14ac:dyDescent="0.2">
      <c r="A399" s="64" t="s">
        <v>10</v>
      </c>
      <c r="B399" s="64" t="s">
        <v>290</v>
      </c>
      <c r="C399" s="64">
        <v>22</v>
      </c>
      <c r="D399" s="64">
        <v>0.5</v>
      </c>
      <c r="E399" s="6">
        <v>490793.71</v>
      </c>
      <c r="F399" s="6">
        <v>338.35</v>
      </c>
      <c r="G399" s="6">
        <v>490651.11</v>
      </c>
      <c r="H399" s="6">
        <v>479.86</v>
      </c>
      <c r="I399" s="6">
        <v>490651.11</v>
      </c>
      <c r="J399" s="6">
        <v>479.86</v>
      </c>
      <c r="K399" s="6">
        <v>490689.12</v>
      </c>
      <c r="L399" s="6">
        <v>383.96</v>
      </c>
      <c r="M399" s="6">
        <v>489252.48</v>
      </c>
      <c r="N399" s="6">
        <v>376.14</v>
      </c>
    </row>
    <row r="400" spans="1:14" x14ac:dyDescent="0.2">
      <c r="E400" s="6"/>
      <c r="F400" s="6"/>
      <c r="G400" s="6"/>
      <c r="H400" s="6"/>
      <c r="I400" s="6"/>
      <c r="J400" s="6"/>
      <c r="K400" s="6"/>
      <c r="L400" s="6"/>
      <c r="M400" s="6"/>
      <c r="N400" s="6"/>
    </row>
    <row r="401" spans="1:14" x14ac:dyDescent="0.2">
      <c r="A401" s="64" t="s">
        <v>10</v>
      </c>
      <c r="B401" s="64" t="s">
        <v>290</v>
      </c>
      <c r="C401" s="64">
        <v>4</v>
      </c>
      <c r="D401" s="64">
        <v>0.3</v>
      </c>
      <c r="E401" s="6" t="s">
        <v>15</v>
      </c>
      <c r="F401" s="6">
        <v>29.6</v>
      </c>
      <c r="G401" s="6" t="s">
        <v>15</v>
      </c>
      <c r="H401" s="6">
        <v>30.94</v>
      </c>
      <c r="I401" s="6" t="s">
        <v>15</v>
      </c>
      <c r="J401" s="6">
        <v>30.94</v>
      </c>
      <c r="K401" s="6" t="s">
        <v>15</v>
      </c>
      <c r="L401" s="6">
        <v>35.770000000000003</v>
      </c>
      <c r="M401" s="6" t="s">
        <v>15</v>
      </c>
      <c r="N401" s="6">
        <v>30.91</v>
      </c>
    </row>
    <row r="402" spans="1:14" x14ac:dyDescent="0.2">
      <c r="A402" s="64" t="s">
        <v>10</v>
      </c>
      <c r="B402" s="64" t="s">
        <v>290</v>
      </c>
      <c r="C402" s="64">
        <v>6</v>
      </c>
      <c r="D402" s="64">
        <v>0.3</v>
      </c>
      <c r="E402" s="6" t="s">
        <v>15</v>
      </c>
      <c r="F402" s="6">
        <v>67.760000000000005</v>
      </c>
      <c r="G402" s="6" t="s">
        <v>15</v>
      </c>
      <c r="H402" s="6">
        <v>93.2</v>
      </c>
      <c r="I402" s="6" t="s">
        <v>15</v>
      </c>
      <c r="J402" s="6">
        <v>93.2</v>
      </c>
      <c r="K402" s="6" t="s">
        <v>15</v>
      </c>
      <c r="L402" s="6">
        <v>110.37</v>
      </c>
      <c r="M402" s="6" t="s">
        <v>15</v>
      </c>
      <c r="N402" s="6">
        <v>99.9</v>
      </c>
    </row>
    <row r="403" spans="1:14" x14ac:dyDescent="0.2">
      <c r="A403" s="64" t="s">
        <v>10</v>
      </c>
      <c r="B403" s="64" t="s">
        <v>290</v>
      </c>
      <c r="C403" s="64">
        <v>8</v>
      </c>
      <c r="D403" s="64">
        <v>0.3</v>
      </c>
      <c r="E403" s="6" t="s">
        <v>15</v>
      </c>
      <c r="F403" s="6">
        <v>88.12</v>
      </c>
      <c r="G403" s="6" t="s">
        <v>15</v>
      </c>
      <c r="H403" s="6">
        <v>142.25</v>
      </c>
      <c r="I403" s="6" t="s">
        <v>15</v>
      </c>
      <c r="J403" s="6">
        <v>142.25</v>
      </c>
      <c r="K403" s="6" t="s">
        <v>15</v>
      </c>
      <c r="L403" s="6">
        <v>139.96</v>
      </c>
      <c r="M403" s="6" t="s">
        <v>15</v>
      </c>
      <c r="N403" s="6">
        <v>95.69</v>
      </c>
    </row>
    <row r="404" spans="1:14" x14ac:dyDescent="0.2">
      <c r="A404" s="64" t="s">
        <v>10</v>
      </c>
      <c r="B404" s="64" t="s">
        <v>290</v>
      </c>
      <c r="C404" s="64">
        <v>10</v>
      </c>
      <c r="D404" s="64">
        <v>0.3</v>
      </c>
      <c r="E404" s="6">
        <v>296141.48</v>
      </c>
      <c r="F404" s="6">
        <v>316.68</v>
      </c>
      <c r="G404" s="6">
        <v>296141.48</v>
      </c>
      <c r="H404" s="6">
        <v>331.24</v>
      </c>
      <c r="I404" s="6">
        <v>296141.48</v>
      </c>
      <c r="J404" s="6">
        <v>331.24</v>
      </c>
      <c r="K404" s="6">
        <v>296141.48</v>
      </c>
      <c r="L404" s="6">
        <v>355.94</v>
      </c>
      <c r="M404" s="6">
        <v>296141.48</v>
      </c>
      <c r="N404" s="6">
        <v>254.65</v>
      </c>
    </row>
    <row r="405" spans="1:14" x14ac:dyDescent="0.2">
      <c r="A405" s="64" t="s">
        <v>10</v>
      </c>
      <c r="B405" s="64" t="s">
        <v>290</v>
      </c>
      <c r="C405" s="64">
        <v>12</v>
      </c>
      <c r="D405" s="64">
        <v>0.3</v>
      </c>
      <c r="E405" s="6">
        <v>379701.52</v>
      </c>
      <c r="F405" s="6">
        <v>450.51</v>
      </c>
      <c r="G405" s="6">
        <v>377766.74</v>
      </c>
      <c r="H405" s="6">
        <v>730.14</v>
      </c>
      <c r="I405" s="6">
        <v>377766.74</v>
      </c>
      <c r="J405" s="6">
        <v>730.14</v>
      </c>
      <c r="K405" s="6">
        <v>377766.74</v>
      </c>
      <c r="L405" s="6">
        <v>667.23</v>
      </c>
      <c r="M405" s="6">
        <v>377766.74</v>
      </c>
      <c r="N405" s="6">
        <v>540.48</v>
      </c>
    </row>
    <row r="406" spans="1:14" x14ac:dyDescent="0.2">
      <c r="A406" s="64" t="s">
        <v>10</v>
      </c>
      <c r="B406" s="64" t="s">
        <v>290</v>
      </c>
      <c r="C406" s="64">
        <v>14</v>
      </c>
      <c r="D406" s="64">
        <v>0.3</v>
      </c>
      <c r="E406" s="6">
        <v>391051.34</v>
      </c>
      <c r="F406" s="6">
        <v>747.78</v>
      </c>
      <c r="G406" s="6">
        <v>391051.34</v>
      </c>
      <c r="H406" s="6">
        <v>1562.23</v>
      </c>
      <c r="I406" s="6">
        <v>391051.34</v>
      </c>
      <c r="J406" s="6">
        <v>1562.23</v>
      </c>
      <c r="K406" s="6">
        <v>391051.34</v>
      </c>
      <c r="L406" s="6">
        <v>974.12</v>
      </c>
      <c r="M406" s="6">
        <v>391051.34</v>
      </c>
      <c r="N406" s="6">
        <v>842.06</v>
      </c>
    </row>
    <row r="407" spans="1:14" x14ac:dyDescent="0.2">
      <c r="A407" s="64" t="s">
        <v>10</v>
      </c>
      <c r="B407" s="64" t="s">
        <v>290</v>
      </c>
      <c r="C407" s="64">
        <v>16</v>
      </c>
      <c r="D407" s="64">
        <v>0.3</v>
      </c>
      <c r="E407" s="6">
        <v>453061.42</v>
      </c>
      <c r="F407" s="6">
        <v>1136.51</v>
      </c>
      <c r="G407" s="6">
        <v>455768.91</v>
      </c>
      <c r="H407" s="6">
        <v>1726.99</v>
      </c>
      <c r="I407" s="6">
        <v>455768.91</v>
      </c>
      <c r="J407" s="6">
        <v>1726.99</v>
      </c>
      <c r="K407" s="6">
        <v>449631.53</v>
      </c>
      <c r="L407" s="6">
        <v>1306.43</v>
      </c>
      <c r="M407" s="6">
        <v>450032.65</v>
      </c>
      <c r="N407" s="6">
        <v>1284.68</v>
      </c>
    </row>
    <row r="408" spans="1:14" x14ac:dyDescent="0.2">
      <c r="A408" s="64" t="s">
        <v>10</v>
      </c>
      <c r="B408" s="64" t="s">
        <v>290</v>
      </c>
      <c r="C408" s="64">
        <v>18</v>
      </c>
      <c r="D408" s="64">
        <v>0.3</v>
      </c>
      <c r="E408" s="6">
        <v>491528.57</v>
      </c>
      <c r="F408" s="6">
        <v>1535.31</v>
      </c>
      <c r="G408" s="6">
        <v>487938.34</v>
      </c>
      <c r="H408" s="6">
        <v>2056.79</v>
      </c>
      <c r="I408" s="6">
        <v>487938.34</v>
      </c>
      <c r="J408" s="6">
        <v>2056.79</v>
      </c>
      <c r="K408" s="6">
        <v>490216.99</v>
      </c>
      <c r="L408" s="6">
        <v>856.86</v>
      </c>
      <c r="M408" s="6">
        <v>489089.57</v>
      </c>
      <c r="N408" s="6">
        <v>1307.8499999999999</v>
      </c>
    </row>
    <row r="409" spans="1:14" x14ac:dyDescent="0.2">
      <c r="A409" s="64" t="s">
        <v>10</v>
      </c>
      <c r="B409" s="64" t="s">
        <v>290</v>
      </c>
      <c r="C409" s="64">
        <v>20</v>
      </c>
      <c r="D409" s="64">
        <v>0.3</v>
      </c>
      <c r="E409" s="6">
        <v>555235.37</v>
      </c>
      <c r="F409" s="6">
        <v>1649.24</v>
      </c>
      <c r="G409" s="6">
        <v>549774.30000000005</v>
      </c>
      <c r="H409" s="6">
        <v>3682.33</v>
      </c>
      <c r="I409" s="6">
        <v>549774.30000000005</v>
      </c>
      <c r="J409" s="6">
        <v>3682.33</v>
      </c>
      <c r="K409" s="6">
        <v>547548.30000000005</v>
      </c>
      <c r="L409" s="6">
        <v>2104.58</v>
      </c>
      <c r="M409" s="6">
        <v>553972.46</v>
      </c>
      <c r="N409" s="6">
        <v>1864.66</v>
      </c>
    </row>
    <row r="410" spans="1:14" x14ac:dyDescent="0.2">
      <c r="A410" s="64" t="s">
        <v>10</v>
      </c>
      <c r="B410" s="64" t="s">
        <v>290</v>
      </c>
      <c r="C410" s="64">
        <v>22</v>
      </c>
      <c r="D410" s="64">
        <v>0.3</v>
      </c>
      <c r="E410" s="6">
        <v>589362.91</v>
      </c>
      <c r="F410" s="6">
        <v>1739.55</v>
      </c>
      <c r="G410" s="6">
        <v>581241.61</v>
      </c>
      <c r="H410" s="6">
        <v>2467.7600000000002</v>
      </c>
      <c r="I410" s="6">
        <v>581241.61</v>
      </c>
      <c r="J410" s="6">
        <v>2467.7600000000002</v>
      </c>
      <c r="K410" s="6">
        <v>587929.22</v>
      </c>
      <c r="L410" s="6">
        <v>2035.85</v>
      </c>
      <c r="M410" s="6">
        <v>588893.93000000005</v>
      </c>
      <c r="N410" s="6">
        <v>2331.27</v>
      </c>
    </row>
    <row r="411" spans="1:14" x14ac:dyDescent="0.2">
      <c r="A411" s="66"/>
      <c r="B411" s="66"/>
      <c r="C411" s="66"/>
      <c r="D411" s="66"/>
      <c r="E411" s="5"/>
      <c r="F411" s="5"/>
      <c r="G411" s="67"/>
      <c r="H411" s="67"/>
      <c r="I411" s="67"/>
      <c r="J411" s="67"/>
      <c r="K411" s="67"/>
      <c r="L411" s="67"/>
      <c r="M411" s="67"/>
      <c r="N411" s="67"/>
    </row>
    <row r="412" spans="1:14" x14ac:dyDescent="0.2">
      <c r="A412" s="64" t="s">
        <v>11</v>
      </c>
      <c r="B412" s="64" t="s">
        <v>290</v>
      </c>
      <c r="C412" s="64">
        <v>4</v>
      </c>
      <c r="D412" s="64">
        <v>1</v>
      </c>
      <c r="E412" s="6">
        <v>62091.68</v>
      </c>
      <c r="F412" s="6">
        <v>23.85</v>
      </c>
      <c r="G412" s="6">
        <v>62091.68</v>
      </c>
      <c r="H412" s="6">
        <v>23.98</v>
      </c>
      <c r="I412" s="6">
        <v>62091.68</v>
      </c>
      <c r="J412" s="6">
        <v>23.98</v>
      </c>
      <c r="K412" s="6">
        <v>62091.68</v>
      </c>
      <c r="L412" s="6">
        <v>24.04</v>
      </c>
      <c r="M412" s="6">
        <v>62091.68</v>
      </c>
      <c r="N412" s="6">
        <v>24.13</v>
      </c>
    </row>
    <row r="413" spans="1:14" x14ac:dyDescent="0.2">
      <c r="A413" s="64" t="s">
        <v>11</v>
      </c>
      <c r="B413" s="64" t="s">
        <v>290</v>
      </c>
      <c r="C413" s="64">
        <v>6</v>
      </c>
      <c r="D413" s="64">
        <v>1</v>
      </c>
      <c r="E413" s="6">
        <v>106724.82</v>
      </c>
      <c r="F413" s="6">
        <v>33.090000000000003</v>
      </c>
      <c r="G413" s="6">
        <v>106724.82</v>
      </c>
      <c r="H413" s="6">
        <v>32.22</v>
      </c>
      <c r="I413" s="6">
        <v>106724.82</v>
      </c>
      <c r="J413" s="6">
        <v>32.22</v>
      </c>
      <c r="K413" s="6">
        <v>106724.82</v>
      </c>
      <c r="L413" s="6">
        <v>32.74</v>
      </c>
      <c r="M413" s="6">
        <v>106724.82</v>
      </c>
      <c r="N413" s="6">
        <v>33.36</v>
      </c>
    </row>
    <row r="414" spans="1:14" x14ac:dyDescent="0.2">
      <c r="A414" s="64" t="s">
        <v>11</v>
      </c>
      <c r="B414" s="64" t="s">
        <v>290</v>
      </c>
      <c r="C414" s="64">
        <v>8</v>
      </c>
      <c r="D414" s="64">
        <v>1</v>
      </c>
      <c r="E414" s="6">
        <v>140813.82</v>
      </c>
      <c r="F414" s="6">
        <v>44</v>
      </c>
      <c r="G414" s="6">
        <v>140813.82</v>
      </c>
      <c r="H414" s="6">
        <v>41.21</v>
      </c>
      <c r="I414" s="6">
        <v>140813.82</v>
      </c>
      <c r="J414" s="6">
        <v>41.21</v>
      </c>
      <c r="K414" s="6">
        <v>140474.46</v>
      </c>
      <c r="L414" s="6">
        <v>42.27</v>
      </c>
      <c r="M414" s="6">
        <v>140813.82</v>
      </c>
      <c r="N414" s="6">
        <v>41.66</v>
      </c>
    </row>
    <row r="415" spans="1:14" x14ac:dyDescent="0.2">
      <c r="A415" s="64" t="s">
        <v>11</v>
      </c>
      <c r="B415" s="64" t="s">
        <v>290</v>
      </c>
      <c r="C415" s="64">
        <v>10</v>
      </c>
      <c r="D415" s="64">
        <v>1</v>
      </c>
      <c r="E415" s="6">
        <v>171577.04</v>
      </c>
      <c r="F415" s="6">
        <v>57.52</v>
      </c>
      <c r="G415" s="6">
        <v>171577.04</v>
      </c>
      <c r="H415" s="6">
        <v>59.19</v>
      </c>
      <c r="I415" s="6">
        <v>171577.04</v>
      </c>
      <c r="J415" s="6">
        <v>59.19</v>
      </c>
      <c r="K415" s="6">
        <v>171577.04</v>
      </c>
      <c r="L415" s="6">
        <v>58.27</v>
      </c>
      <c r="M415" s="6">
        <v>171577.04</v>
      </c>
      <c r="N415" s="6">
        <v>59.62</v>
      </c>
    </row>
    <row r="416" spans="1:14" x14ac:dyDescent="0.2">
      <c r="A416" s="64" t="s">
        <v>11</v>
      </c>
      <c r="B416" s="64" t="s">
        <v>290</v>
      </c>
      <c r="C416" s="64">
        <v>12</v>
      </c>
      <c r="D416" s="64">
        <v>1</v>
      </c>
      <c r="E416" s="6">
        <v>198401.83</v>
      </c>
      <c r="F416" s="6">
        <v>67.87</v>
      </c>
      <c r="G416" s="6">
        <v>198401.83</v>
      </c>
      <c r="H416" s="6">
        <v>69.08</v>
      </c>
      <c r="I416" s="6">
        <v>198401.83</v>
      </c>
      <c r="J416" s="6">
        <v>69.08</v>
      </c>
      <c r="K416" s="6">
        <v>198401.83</v>
      </c>
      <c r="L416" s="6">
        <v>64.739999999999995</v>
      </c>
      <c r="M416" s="6">
        <v>198401.83</v>
      </c>
      <c r="N416" s="6">
        <v>66.010000000000005</v>
      </c>
    </row>
    <row r="417" spans="1:14" x14ac:dyDescent="0.2">
      <c r="A417" s="64" t="s">
        <v>11</v>
      </c>
      <c r="B417" s="64" t="s">
        <v>290</v>
      </c>
      <c r="C417" s="64">
        <v>14</v>
      </c>
      <c r="D417" s="64">
        <v>1</v>
      </c>
      <c r="E417" s="6">
        <v>226392.65</v>
      </c>
      <c r="F417" s="6">
        <v>114.65</v>
      </c>
      <c r="G417" s="6">
        <v>226392.65</v>
      </c>
      <c r="H417" s="6">
        <v>114.72</v>
      </c>
      <c r="I417" s="6">
        <v>226392.65</v>
      </c>
      <c r="J417" s="6">
        <v>114.72</v>
      </c>
      <c r="K417" s="6">
        <v>228167.16</v>
      </c>
      <c r="L417" s="6">
        <v>101.93</v>
      </c>
      <c r="M417" s="6">
        <v>226392.65</v>
      </c>
      <c r="N417" s="6">
        <v>122.36</v>
      </c>
    </row>
    <row r="418" spans="1:14" x14ac:dyDescent="0.2">
      <c r="A418" s="64" t="s">
        <v>11</v>
      </c>
      <c r="B418" s="64" t="s">
        <v>290</v>
      </c>
      <c r="C418" s="64">
        <v>16</v>
      </c>
      <c r="D418" s="64">
        <v>1</v>
      </c>
      <c r="E418" s="6">
        <v>257558.72</v>
      </c>
      <c r="F418" s="6">
        <v>112.47</v>
      </c>
      <c r="G418" s="6">
        <v>257558.72</v>
      </c>
      <c r="H418" s="6">
        <v>132.30000000000001</v>
      </c>
      <c r="I418" s="6">
        <v>257558.72</v>
      </c>
      <c r="J418" s="6">
        <v>132.30000000000001</v>
      </c>
      <c r="K418" s="6">
        <v>257558.72</v>
      </c>
      <c r="L418" s="6">
        <v>103.86</v>
      </c>
      <c r="M418" s="6">
        <v>257558.72</v>
      </c>
      <c r="N418" s="6">
        <v>92.46</v>
      </c>
    </row>
    <row r="419" spans="1:14" x14ac:dyDescent="0.2">
      <c r="A419" s="64" t="s">
        <v>11</v>
      </c>
      <c r="B419" s="64" t="s">
        <v>290</v>
      </c>
      <c r="C419" s="64">
        <v>18</v>
      </c>
      <c r="D419" s="64">
        <v>1</v>
      </c>
      <c r="E419" s="6">
        <v>287991.31</v>
      </c>
      <c r="F419" s="6">
        <v>131.80000000000001</v>
      </c>
      <c r="G419" s="6">
        <v>287887.48</v>
      </c>
      <c r="H419" s="6">
        <v>159.44</v>
      </c>
      <c r="I419" s="6">
        <v>287887.48</v>
      </c>
      <c r="J419" s="6">
        <v>159.44</v>
      </c>
      <c r="K419" s="6">
        <v>287887.48</v>
      </c>
      <c r="L419" s="6">
        <v>159.09</v>
      </c>
      <c r="M419" s="6">
        <v>287887.48</v>
      </c>
      <c r="N419" s="6">
        <v>149.44999999999999</v>
      </c>
    </row>
    <row r="420" spans="1:14" x14ac:dyDescent="0.2">
      <c r="A420" s="64" t="s">
        <v>11</v>
      </c>
      <c r="B420" s="64" t="s">
        <v>290</v>
      </c>
      <c r="C420" s="64">
        <v>20</v>
      </c>
      <c r="D420" s="64">
        <v>1</v>
      </c>
      <c r="E420" s="6">
        <v>340425.07</v>
      </c>
      <c r="F420" s="6">
        <v>365.32</v>
      </c>
      <c r="G420" s="6">
        <v>339823.55</v>
      </c>
      <c r="H420" s="6">
        <v>257.45</v>
      </c>
      <c r="I420" s="6">
        <v>339823.55</v>
      </c>
      <c r="J420" s="6">
        <v>257.45</v>
      </c>
      <c r="K420" s="6">
        <v>340321.24</v>
      </c>
      <c r="L420" s="6">
        <v>294.3</v>
      </c>
      <c r="M420" s="6">
        <v>339823.55</v>
      </c>
      <c r="N420" s="6">
        <v>247.55</v>
      </c>
    </row>
    <row r="421" spans="1:14" x14ac:dyDescent="0.2">
      <c r="A421" s="64" t="s">
        <v>11</v>
      </c>
      <c r="B421" s="64" t="s">
        <v>290</v>
      </c>
      <c r="C421" s="64">
        <v>22</v>
      </c>
      <c r="D421" s="64">
        <v>1</v>
      </c>
      <c r="E421" s="6">
        <v>395897.26</v>
      </c>
      <c r="F421" s="6">
        <v>430.12</v>
      </c>
      <c r="G421" s="6">
        <v>395897.26</v>
      </c>
      <c r="H421" s="6">
        <v>382.35</v>
      </c>
      <c r="I421" s="6">
        <v>395897.26</v>
      </c>
      <c r="J421" s="6">
        <v>382.35</v>
      </c>
      <c r="K421" s="6">
        <v>395897.26</v>
      </c>
      <c r="L421" s="6">
        <v>365.72</v>
      </c>
      <c r="M421" s="6">
        <v>383171.2</v>
      </c>
      <c r="N421" s="6">
        <v>164.92</v>
      </c>
    </row>
    <row r="422" spans="1:14" x14ac:dyDescent="0.2">
      <c r="A422" s="64"/>
      <c r="B422" s="64"/>
      <c r="C422" s="64"/>
      <c r="D422" s="64"/>
      <c r="E422" s="6"/>
      <c r="F422" s="6"/>
      <c r="G422" s="6"/>
      <c r="H422" s="6"/>
      <c r="I422" s="6"/>
      <c r="J422" s="6"/>
      <c r="K422" s="6"/>
      <c r="L422" s="6"/>
      <c r="M422" s="6"/>
      <c r="N422" s="6"/>
    </row>
    <row r="423" spans="1:14" x14ac:dyDescent="0.2">
      <c r="A423" s="64" t="s">
        <v>11</v>
      </c>
      <c r="B423" s="64" t="s">
        <v>290</v>
      </c>
      <c r="C423" s="64">
        <v>4</v>
      </c>
      <c r="D423" s="64">
        <v>0.5</v>
      </c>
      <c r="E423" s="6">
        <v>81002.429999999993</v>
      </c>
      <c r="F423" s="6">
        <v>26.7</v>
      </c>
      <c r="G423" s="6">
        <v>81002.429999999993</v>
      </c>
      <c r="H423" s="6">
        <v>26.61</v>
      </c>
      <c r="I423" s="6">
        <v>81002.429999999993</v>
      </c>
      <c r="J423" s="6">
        <v>26.61</v>
      </c>
      <c r="K423" s="6">
        <v>81002.429999999993</v>
      </c>
      <c r="L423" s="6">
        <v>27.13</v>
      </c>
      <c r="M423" s="6">
        <v>81002.429999999993</v>
      </c>
      <c r="N423" s="6">
        <v>29.16</v>
      </c>
    </row>
    <row r="424" spans="1:14" x14ac:dyDescent="0.2">
      <c r="A424" s="64" t="s">
        <v>11</v>
      </c>
      <c r="B424" s="64" t="s">
        <v>290</v>
      </c>
      <c r="C424" s="64">
        <v>6</v>
      </c>
      <c r="D424" s="64">
        <v>0.5</v>
      </c>
      <c r="E424" s="6">
        <v>150276.79</v>
      </c>
      <c r="F424" s="6">
        <v>40.36</v>
      </c>
      <c r="G424" s="6">
        <v>148925.73000000001</v>
      </c>
      <c r="H424" s="6">
        <v>45.88</v>
      </c>
      <c r="I424" s="6">
        <v>148925.73000000001</v>
      </c>
      <c r="J424" s="6">
        <v>45.88</v>
      </c>
      <c r="K424" s="6">
        <v>148925.73000000001</v>
      </c>
      <c r="L424" s="6">
        <v>38.950000000000003</v>
      </c>
      <c r="M424" s="6">
        <v>152063.93</v>
      </c>
      <c r="N424" s="6">
        <v>37.74</v>
      </c>
    </row>
    <row r="425" spans="1:14" x14ac:dyDescent="0.2">
      <c r="A425" s="64" t="s">
        <v>11</v>
      </c>
      <c r="B425" s="64" t="s">
        <v>290</v>
      </c>
      <c r="C425" s="64">
        <v>8</v>
      </c>
      <c r="D425" s="64">
        <v>0.5</v>
      </c>
      <c r="E425" s="6">
        <v>189220.46</v>
      </c>
      <c r="F425" s="6">
        <v>57.49</v>
      </c>
      <c r="G425" s="6">
        <v>189211.38</v>
      </c>
      <c r="H425" s="6">
        <v>61.63</v>
      </c>
      <c r="I425" s="6">
        <v>189211.38</v>
      </c>
      <c r="J425" s="6">
        <v>61.63</v>
      </c>
      <c r="K425" s="6">
        <v>189211.38</v>
      </c>
      <c r="L425" s="6">
        <v>49.33</v>
      </c>
      <c r="M425" s="6">
        <v>195731.94</v>
      </c>
      <c r="N425" s="6">
        <v>51.31</v>
      </c>
    </row>
    <row r="426" spans="1:14" x14ac:dyDescent="0.2">
      <c r="A426" s="64" t="s">
        <v>11</v>
      </c>
      <c r="B426" s="64" t="s">
        <v>290</v>
      </c>
      <c r="C426" s="64">
        <v>10</v>
      </c>
      <c r="D426" s="64">
        <v>0.5</v>
      </c>
      <c r="E426" s="6">
        <v>233199.68</v>
      </c>
      <c r="F426" s="6">
        <v>180</v>
      </c>
      <c r="G426" s="6">
        <v>231921.74</v>
      </c>
      <c r="H426" s="6">
        <v>316.79000000000002</v>
      </c>
      <c r="I426" s="6">
        <v>231921.74</v>
      </c>
      <c r="J426" s="6">
        <v>316.79000000000002</v>
      </c>
      <c r="K426" s="6">
        <v>231652.22</v>
      </c>
      <c r="L426" s="6">
        <v>179.84</v>
      </c>
      <c r="M426" s="6">
        <v>230595.63</v>
      </c>
      <c r="N426" s="6">
        <v>185.48</v>
      </c>
    </row>
    <row r="427" spans="1:14" x14ac:dyDescent="0.2">
      <c r="A427" s="64" t="s">
        <v>11</v>
      </c>
      <c r="B427" s="64" t="s">
        <v>290</v>
      </c>
      <c r="C427" s="64">
        <v>12</v>
      </c>
      <c r="D427" s="64">
        <v>0.5</v>
      </c>
      <c r="E427" s="6">
        <v>268769.38</v>
      </c>
      <c r="F427" s="6">
        <v>205.87</v>
      </c>
      <c r="G427" s="6">
        <v>266125.90000000002</v>
      </c>
      <c r="H427" s="6">
        <v>407.09</v>
      </c>
      <c r="I427" s="6">
        <v>266125.90000000002</v>
      </c>
      <c r="J427" s="6">
        <v>407.09</v>
      </c>
      <c r="K427" s="6">
        <v>266125.90000000002</v>
      </c>
      <c r="L427" s="6">
        <v>270.62</v>
      </c>
      <c r="M427" s="6">
        <v>267356.26</v>
      </c>
      <c r="N427" s="6">
        <v>269.27999999999997</v>
      </c>
    </row>
    <row r="428" spans="1:14" x14ac:dyDescent="0.2">
      <c r="A428" s="64" t="s">
        <v>11</v>
      </c>
      <c r="B428" s="64" t="s">
        <v>290</v>
      </c>
      <c r="C428" s="64">
        <v>14</v>
      </c>
      <c r="D428" s="64">
        <v>0.5</v>
      </c>
      <c r="E428" s="6">
        <v>309565.17</v>
      </c>
      <c r="F428" s="6">
        <v>579.37</v>
      </c>
      <c r="G428" s="6">
        <v>308219.88</v>
      </c>
      <c r="H428" s="6">
        <v>1058.48</v>
      </c>
      <c r="I428" s="6">
        <v>308219.88</v>
      </c>
      <c r="J428" s="6">
        <v>1058.48</v>
      </c>
      <c r="K428" s="6">
        <v>309300.78999999998</v>
      </c>
      <c r="L428" s="6">
        <v>622.15</v>
      </c>
      <c r="M428" s="6">
        <v>309300.78999999998</v>
      </c>
      <c r="N428" s="6">
        <v>725.58</v>
      </c>
    </row>
    <row r="429" spans="1:14" x14ac:dyDescent="0.2">
      <c r="A429" s="64" t="s">
        <v>11</v>
      </c>
      <c r="B429" s="64" t="s">
        <v>290</v>
      </c>
      <c r="C429" s="64">
        <v>16</v>
      </c>
      <c r="D429" s="64">
        <v>0.5</v>
      </c>
      <c r="E429" s="6">
        <v>337230.25</v>
      </c>
      <c r="F429" s="6">
        <v>181.62</v>
      </c>
      <c r="G429" s="6">
        <v>337230.25</v>
      </c>
      <c r="H429" s="6">
        <v>296.44</v>
      </c>
      <c r="I429" s="6">
        <v>337230.25</v>
      </c>
      <c r="J429" s="6">
        <v>296.44</v>
      </c>
      <c r="K429" s="6">
        <v>369639.22</v>
      </c>
      <c r="L429" s="6">
        <v>347.03</v>
      </c>
      <c r="M429" s="6">
        <v>368485.86</v>
      </c>
      <c r="N429" s="6">
        <v>477.98</v>
      </c>
    </row>
    <row r="430" spans="1:14" x14ac:dyDescent="0.2">
      <c r="A430" s="64" t="s">
        <v>11</v>
      </c>
      <c r="B430" s="64" t="s">
        <v>290</v>
      </c>
      <c r="C430" s="64">
        <v>18</v>
      </c>
      <c r="D430" s="64">
        <v>0.5</v>
      </c>
      <c r="E430" s="6">
        <v>380901.88</v>
      </c>
      <c r="F430" s="6">
        <v>415.83</v>
      </c>
      <c r="G430" s="6">
        <v>381279.74</v>
      </c>
      <c r="H430" s="6">
        <v>517.07000000000005</v>
      </c>
      <c r="I430" s="6">
        <v>381279.74</v>
      </c>
      <c r="J430" s="6">
        <v>517.07000000000005</v>
      </c>
      <c r="K430" s="6">
        <v>381624.64</v>
      </c>
      <c r="L430" s="6">
        <v>306.77999999999997</v>
      </c>
      <c r="M430" s="6">
        <v>381624.64</v>
      </c>
      <c r="N430" s="6">
        <v>358</v>
      </c>
    </row>
    <row r="431" spans="1:14" x14ac:dyDescent="0.2">
      <c r="A431" s="64" t="s">
        <v>11</v>
      </c>
      <c r="B431" s="64" t="s">
        <v>290</v>
      </c>
      <c r="C431" s="64">
        <v>20</v>
      </c>
      <c r="D431" s="64">
        <v>0.5</v>
      </c>
      <c r="E431" s="6">
        <v>455391.93</v>
      </c>
      <c r="F431" s="6">
        <v>524.15</v>
      </c>
      <c r="G431" s="6">
        <v>438201.16</v>
      </c>
      <c r="H431" s="6">
        <v>393.65</v>
      </c>
      <c r="I431" s="6">
        <v>438201.16</v>
      </c>
      <c r="J431" s="6">
        <v>393.65</v>
      </c>
      <c r="K431" s="6">
        <v>436748.18</v>
      </c>
      <c r="L431" s="6">
        <v>242.55</v>
      </c>
      <c r="M431" s="6">
        <v>455047.03</v>
      </c>
      <c r="N431" s="6">
        <v>451.49</v>
      </c>
    </row>
    <row r="432" spans="1:14" x14ac:dyDescent="0.2">
      <c r="A432" s="64" t="s">
        <v>11</v>
      </c>
      <c r="B432" s="64" t="s">
        <v>290</v>
      </c>
      <c r="C432" s="64">
        <v>22</v>
      </c>
      <c r="D432" s="64">
        <v>0.5</v>
      </c>
      <c r="E432" s="6">
        <v>521133.13</v>
      </c>
      <c r="F432" s="6">
        <v>614.77</v>
      </c>
      <c r="G432" s="6">
        <v>522275.43</v>
      </c>
      <c r="H432" s="6">
        <v>847.09</v>
      </c>
      <c r="I432" s="6">
        <v>522275.43</v>
      </c>
      <c r="J432" s="6">
        <v>847.09</v>
      </c>
      <c r="K432" s="6">
        <v>503074.9</v>
      </c>
      <c r="L432" s="6">
        <v>282.24</v>
      </c>
      <c r="M432" s="6">
        <v>523674.24</v>
      </c>
      <c r="N432" s="6">
        <v>625.24</v>
      </c>
    </row>
    <row r="433" spans="1:14" x14ac:dyDescent="0.2">
      <c r="E433" s="6"/>
      <c r="F433" s="6"/>
      <c r="G433" s="6"/>
      <c r="H433" s="6"/>
      <c r="I433" s="6"/>
      <c r="J433" s="6"/>
      <c r="K433" s="6"/>
      <c r="L433" s="6"/>
      <c r="M433" s="6"/>
      <c r="N433" s="6"/>
    </row>
    <row r="434" spans="1:14" x14ac:dyDescent="0.2">
      <c r="A434" s="64" t="s">
        <v>11</v>
      </c>
      <c r="B434" s="64" t="s">
        <v>290</v>
      </c>
      <c r="C434" s="64">
        <v>4</v>
      </c>
      <c r="D434" s="64">
        <v>0.3</v>
      </c>
      <c r="E434" s="6">
        <v>101863.24</v>
      </c>
      <c r="F434" s="6">
        <v>28.26</v>
      </c>
      <c r="G434" s="6">
        <v>101863.24</v>
      </c>
      <c r="H434" s="6">
        <v>29.83</v>
      </c>
      <c r="I434" s="6">
        <v>101863.24</v>
      </c>
      <c r="J434" s="6">
        <v>29.83</v>
      </c>
      <c r="K434" s="6">
        <v>101863.24</v>
      </c>
      <c r="L434" s="6">
        <v>27.08</v>
      </c>
      <c r="M434" s="6">
        <v>101863.24</v>
      </c>
      <c r="N434" s="6">
        <v>27.7</v>
      </c>
    </row>
    <row r="435" spans="1:14" x14ac:dyDescent="0.2">
      <c r="A435" s="64" t="s">
        <v>11</v>
      </c>
      <c r="B435" s="64" t="s">
        <v>290</v>
      </c>
      <c r="C435" s="64">
        <v>6</v>
      </c>
      <c r="D435" s="64">
        <v>0.3</v>
      </c>
      <c r="E435" s="6">
        <v>213797.21</v>
      </c>
      <c r="F435" s="6">
        <v>72.88</v>
      </c>
      <c r="G435" s="6">
        <v>214861.54</v>
      </c>
      <c r="H435" s="6">
        <v>86.51</v>
      </c>
      <c r="I435" s="6">
        <v>214861.54</v>
      </c>
      <c r="J435" s="6">
        <v>86.51</v>
      </c>
      <c r="K435" s="6">
        <v>214901.5</v>
      </c>
      <c r="L435" s="6">
        <v>69.56</v>
      </c>
      <c r="M435" s="6">
        <v>215418.73</v>
      </c>
      <c r="N435" s="6">
        <v>75.260000000000005</v>
      </c>
    </row>
    <row r="436" spans="1:14" x14ac:dyDescent="0.2">
      <c r="A436" s="64" t="s">
        <v>11</v>
      </c>
      <c r="B436" s="64" t="s">
        <v>290</v>
      </c>
      <c r="C436" s="64">
        <v>8</v>
      </c>
      <c r="D436" s="64">
        <v>0.3</v>
      </c>
      <c r="E436" s="6">
        <v>318173.09999999998</v>
      </c>
      <c r="F436" s="6">
        <v>101.79</v>
      </c>
      <c r="G436" s="6">
        <v>314957.19</v>
      </c>
      <c r="H436" s="6">
        <v>159.21</v>
      </c>
      <c r="I436" s="6">
        <v>314957.19</v>
      </c>
      <c r="J436" s="6">
        <v>159.21</v>
      </c>
      <c r="K436" s="6">
        <v>318173.09999999998</v>
      </c>
      <c r="L436" s="6">
        <v>117.99</v>
      </c>
      <c r="M436" s="6">
        <v>315832.90000000002</v>
      </c>
      <c r="N436" s="6">
        <v>131.65</v>
      </c>
    </row>
    <row r="437" spans="1:14" x14ac:dyDescent="0.2">
      <c r="A437" s="64" t="s">
        <v>11</v>
      </c>
      <c r="B437" s="64" t="s">
        <v>290</v>
      </c>
      <c r="C437" s="64">
        <v>10</v>
      </c>
      <c r="D437" s="64">
        <v>0.3</v>
      </c>
      <c r="E437" s="6" t="s">
        <v>15</v>
      </c>
      <c r="F437" s="6">
        <v>258.83999999999997</v>
      </c>
      <c r="G437" s="6">
        <v>323226.61</v>
      </c>
      <c r="H437" s="6">
        <v>208.66</v>
      </c>
      <c r="I437" s="6">
        <v>323226.61</v>
      </c>
      <c r="J437" s="6">
        <v>208.66</v>
      </c>
      <c r="K437" s="6">
        <v>323226.61</v>
      </c>
      <c r="L437" s="6">
        <v>290.22000000000003</v>
      </c>
      <c r="M437" s="6">
        <v>321976.33</v>
      </c>
      <c r="N437" s="6">
        <v>190.45</v>
      </c>
    </row>
    <row r="438" spans="1:14" x14ac:dyDescent="0.2">
      <c r="A438" s="64" t="s">
        <v>11</v>
      </c>
      <c r="B438" s="64" t="s">
        <v>290</v>
      </c>
      <c r="C438" s="64">
        <v>12</v>
      </c>
      <c r="D438" s="64">
        <v>0.3</v>
      </c>
      <c r="E438" s="6">
        <v>416625.91999999998</v>
      </c>
      <c r="F438" s="6">
        <v>640.05999999999995</v>
      </c>
      <c r="G438" s="6">
        <v>406267.09</v>
      </c>
      <c r="H438" s="6">
        <v>789.93</v>
      </c>
      <c r="I438" s="6">
        <v>406267.09</v>
      </c>
      <c r="J438" s="6">
        <v>789.93</v>
      </c>
      <c r="K438" s="6">
        <v>411760.6</v>
      </c>
      <c r="L438" s="6">
        <v>498.58</v>
      </c>
      <c r="M438" s="6">
        <v>419022.96</v>
      </c>
      <c r="N438" s="6">
        <v>353.51</v>
      </c>
    </row>
    <row r="439" spans="1:14" x14ac:dyDescent="0.2">
      <c r="A439" s="64" t="s">
        <v>11</v>
      </c>
      <c r="B439" s="64" t="s">
        <v>290</v>
      </c>
      <c r="C439" s="64">
        <v>14</v>
      </c>
      <c r="D439" s="64">
        <v>0.3</v>
      </c>
      <c r="E439" s="6">
        <v>433954.41</v>
      </c>
      <c r="F439" s="6">
        <v>1057.29</v>
      </c>
      <c r="G439" s="6" t="s">
        <v>15</v>
      </c>
      <c r="H439" s="6">
        <v>1260.23</v>
      </c>
      <c r="I439" s="6" t="s">
        <v>15</v>
      </c>
      <c r="J439" s="6">
        <v>1260.23</v>
      </c>
      <c r="K439" s="6">
        <v>435160.72</v>
      </c>
      <c r="L439" s="6">
        <v>593.41</v>
      </c>
      <c r="M439" s="6" t="s">
        <v>15</v>
      </c>
      <c r="N439" s="6"/>
    </row>
    <row r="440" spans="1:14" x14ac:dyDescent="0.2">
      <c r="A440" s="64" t="s">
        <v>11</v>
      </c>
      <c r="B440" s="64" t="s">
        <v>290</v>
      </c>
      <c r="C440" s="64">
        <v>16</v>
      </c>
      <c r="D440" s="64">
        <v>0.3</v>
      </c>
      <c r="E440" s="6">
        <v>405865.47</v>
      </c>
      <c r="F440" s="6">
        <v>1275.5999999999999</v>
      </c>
      <c r="G440" s="6">
        <v>405865.47</v>
      </c>
      <c r="H440" s="6">
        <v>2051.6</v>
      </c>
      <c r="I440" s="6">
        <v>405865.47</v>
      </c>
      <c r="J440" s="6">
        <v>2051.6</v>
      </c>
      <c r="K440" s="6">
        <v>410049.58</v>
      </c>
      <c r="L440" s="6">
        <v>1130.1099999999999</v>
      </c>
      <c r="M440" s="6">
        <v>405865.47</v>
      </c>
      <c r="N440" s="6">
        <v>892.43</v>
      </c>
    </row>
    <row r="441" spans="1:14" x14ac:dyDescent="0.2">
      <c r="A441" s="64" t="s">
        <v>11</v>
      </c>
      <c r="B441" s="64" t="s">
        <v>290</v>
      </c>
      <c r="C441" s="64">
        <v>18</v>
      </c>
      <c r="D441" s="64">
        <v>0.3</v>
      </c>
      <c r="E441" s="6">
        <v>453569.02</v>
      </c>
      <c r="F441" s="6">
        <v>1321.48</v>
      </c>
      <c r="G441" s="6">
        <v>453569.02</v>
      </c>
      <c r="H441" s="6">
        <v>2415.37</v>
      </c>
      <c r="I441" s="6">
        <v>453569.02</v>
      </c>
      <c r="J441" s="6">
        <v>2415.37</v>
      </c>
      <c r="K441" s="6">
        <v>455806.83</v>
      </c>
      <c r="L441" s="6">
        <v>1499.05</v>
      </c>
      <c r="M441" s="6">
        <v>454258.45</v>
      </c>
      <c r="N441" s="6">
        <v>1900.38</v>
      </c>
    </row>
    <row r="442" spans="1:14" x14ac:dyDescent="0.2">
      <c r="A442" s="64" t="s">
        <v>11</v>
      </c>
      <c r="B442" s="64" t="s">
        <v>290</v>
      </c>
      <c r="C442" s="64">
        <v>20</v>
      </c>
      <c r="D442" s="64">
        <v>0.3</v>
      </c>
      <c r="E442" s="6">
        <v>545645.28</v>
      </c>
      <c r="F442" s="6">
        <v>2027.47</v>
      </c>
      <c r="G442" s="6">
        <v>546181.9</v>
      </c>
      <c r="H442" s="6">
        <v>3431.23</v>
      </c>
      <c r="I442" s="6">
        <v>546181.9</v>
      </c>
      <c r="J442" s="6">
        <v>3431.23</v>
      </c>
      <c r="K442" s="6">
        <v>545988.48</v>
      </c>
      <c r="L442" s="6">
        <v>1755.36</v>
      </c>
      <c r="M442" s="6">
        <v>545645.28</v>
      </c>
      <c r="N442" s="6">
        <v>2462.2399999999998</v>
      </c>
    </row>
    <row r="443" spans="1:14" x14ac:dyDescent="0.2">
      <c r="A443" s="64" t="s">
        <v>11</v>
      </c>
      <c r="B443" s="64" t="s">
        <v>290</v>
      </c>
      <c r="C443" s="64">
        <v>22</v>
      </c>
      <c r="D443" s="64">
        <v>0.3</v>
      </c>
      <c r="E443" s="6">
        <v>624314.37</v>
      </c>
      <c r="F443" s="6">
        <v>2337.23</v>
      </c>
      <c r="G443" s="6">
        <v>628276.32999999996</v>
      </c>
      <c r="H443" s="6">
        <v>3692.81</v>
      </c>
      <c r="I443" s="6">
        <v>628276.32999999996</v>
      </c>
      <c r="J443" s="6">
        <v>3692.81</v>
      </c>
      <c r="K443" s="6">
        <v>622132.99</v>
      </c>
      <c r="L443" s="6">
        <v>2555.46</v>
      </c>
      <c r="M443" s="6">
        <v>626397.32999999996</v>
      </c>
      <c r="N443" s="6">
        <v>2716.98</v>
      </c>
    </row>
    <row r="444" spans="1:14" x14ac:dyDescent="0.2">
      <c r="A444" s="66"/>
      <c r="B444" s="66"/>
      <c r="C444" s="66"/>
      <c r="D444" s="66"/>
      <c r="E444" s="5"/>
      <c r="F444" s="5"/>
      <c r="G444" s="67"/>
      <c r="H444" s="67"/>
      <c r="I444" s="67"/>
      <c r="J444" s="67"/>
      <c r="K444" s="67"/>
      <c r="L444" s="67"/>
      <c r="M444" s="67"/>
      <c r="N444" s="67"/>
    </row>
    <row r="445" spans="1:14" x14ac:dyDescent="0.2">
      <c r="A445" s="64" t="s">
        <v>12</v>
      </c>
      <c r="B445" s="64" t="s">
        <v>290</v>
      </c>
      <c r="C445" s="64">
        <v>4</v>
      </c>
      <c r="D445" s="64">
        <v>1</v>
      </c>
      <c r="E445" s="6">
        <v>106551.73</v>
      </c>
      <c r="F445" s="6">
        <v>24.48</v>
      </c>
      <c r="G445" s="6">
        <v>106551.73</v>
      </c>
      <c r="H445" s="6">
        <v>24.58</v>
      </c>
      <c r="I445" s="6">
        <v>106551.73</v>
      </c>
      <c r="J445" s="6">
        <v>24.58</v>
      </c>
      <c r="K445" s="6">
        <v>106551.73</v>
      </c>
      <c r="L445" s="6">
        <v>23.68</v>
      </c>
      <c r="M445" s="6">
        <v>106551.73</v>
      </c>
      <c r="N445" s="6">
        <v>24.44</v>
      </c>
    </row>
    <row r="446" spans="1:14" x14ac:dyDescent="0.2">
      <c r="A446" s="64" t="s">
        <v>12</v>
      </c>
      <c r="B446" s="64" t="s">
        <v>290</v>
      </c>
      <c r="C446" s="64">
        <v>6</v>
      </c>
      <c r="D446" s="64">
        <v>1</v>
      </c>
      <c r="E446" s="6">
        <v>114277.15</v>
      </c>
      <c r="F446" s="6">
        <v>37.840000000000003</v>
      </c>
      <c r="G446" s="6">
        <v>114277.15</v>
      </c>
      <c r="H446" s="6">
        <v>35.700000000000003</v>
      </c>
      <c r="I446" s="6">
        <v>114277.15</v>
      </c>
      <c r="J446" s="6">
        <v>35.700000000000003</v>
      </c>
      <c r="K446" s="6">
        <v>114277.15</v>
      </c>
      <c r="L446" s="6">
        <v>35.99</v>
      </c>
      <c r="M446" s="6">
        <v>114277.15</v>
      </c>
      <c r="N446" s="6">
        <v>36.72</v>
      </c>
    </row>
    <row r="447" spans="1:14" x14ac:dyDescent="0.2">
      <c r="A447" s="64" t="s">
        <v>12</v>
      </c>
      <c r="B447" s="64" t="s">
        <v>290</v>
      </c>
      <c r="C447" s="64">
        <v>8</v>
      </c>
      <c r="D447" s="64">
        <v>1</v>
      </c>
      <c r="E447" s="6">
        <v>173841.01</v>
      </c>
      <c r="F447" s="6">
        <v>46.88</v>
      </c>
      <c r="G447" s="6">
        <v>173841.01</v>
      </c>
      <c r="H447" s="6">
        <v>49.75</v>
      </c>
      <c r="I447" s="6">
        <v>173841.01</v>
      </c>
      <c r="J447" s="6">
        <v>49.75</v>
      </c>
      <c r="K447" s="6">
        <v>173841.01</v>
      </c>
      <c r="L447" s="6">
        <v>50.14</v>
      </c>
      <c r="M447" s="6">
        <v>173841.01</v>
      </c>
      <c r="N447" s="6">
        <v>47.33</v>
      </c>
    </row>
    <row r="448" spans="1:14" x14ac:dyDescent="0.2">
      <c r="A448" s="64" t="s">
        <v>12</v>
      </c>
      <c r="B448" s="64" t="s">
        <v>290</v>
      </c>
      <c r="C448" s="64">
        <v>10</v>
      </c>
      <c r="D448" s="64">
        <v>1</v>
      </c>
      <c r="E448" s="6">
        <v>187703.7</v>
      </c>
      <c r="F448" s="6">
        <v>62.21</v>
      </c>
      <c r="G448" s="6">
        <v>187703.7</v>
      </c>
      <c r="H448" s="6">
        <v>60.51</v>
      </c>
      <c r="I448" s="6">
        <v>187703.7</v>
      </c>
      <c r="J448" s="6">
        <v>60.51</v>
      </c>
      <c r="K448" s="6">
        <v>187703.7</v>
      </c>
      <c r="L448" s="6">
        <v>59.64</v>
      </c>
      <c r="M448" s="6">
        <v>187703.7</v>
      </c>
      <c r="N448" s="6">
        <v>62.18</v>
      </c>
    </row>
    <row r="449" spans="1:14" x14ac:dyDescent="0.2">
      <c r="A449" s="64" t="s">
        <v>12</v>
      </c>
      <c r="B449" s="64" t="s">
        <v>290</v>
      </c>
      <c r="C449" s="64">
        <v>12</v>
      </c>
      <c r="D449" s="64">
        <v>1</v>
      </c>
      <c r="E449" s="6">
        <v>234102.13</v>
      </c>
      <c r="F449" s="6">
        <v>78.91</v>
      </c>
      <c r="G449" s="6">
        <v>234102.13</v>
      </c>
      <c r="H449" s="6">
        <v>80.400000000000006</v>
      </c>
      <c r="I449" s="6">
        <v>234102.13</v>
      </c>
      <c r="J449" s="6">
        <v>80.400000000000006</v>
      </c>
      <c r="K449" s="6">
        <v>234102.13</v>
      </c>
      <c r="L449" s="6">
        <v>80.27</v>
      </c>
      <c r="M449" s="6">
        <v>234102.13</v>
      </c>
      <c r="N449" s="6">
        <v>79.959999999999994</v>
      </c>
    </row>
    <row r="450" spans="1:14" x14ac:dyDescent="0.2">
      <c r="A450" s="64" t="s">
        <v>12</v>
      </c>
      <c r="B450" s="64" t="s">
        <v>290</v>
      </c>
      <c r="C450" s="64">
        <v>14</v>
      </c>
      <c r="D450" s="64">
        <v>1</v>
      </c>
      <c r="E450" s="6">
        <v>238335.43</v>
      </c>
      <c r="F450" s="6">
        <v>123.33</v>
      </c>
      <c r="G450" s="6">
        <v>238335.43</v>
      </c>
      <c r="H450" s="6">
        <v>116.69</v>
      </c>
      <c r="I450" s="6">
        <v>238335.43</v>
      </c>
      <c r="J450" s="6">
        <v>116.69</v>
      </c>
      <c r="K450" s="6">
        <v>238335.43</v>
      </c>
      <c r="L450" s="6">
        <v>110.81</v>
      </c>
      <c r="M450" s="6">
        <v>238335.43</v>
      </c>
      <c r="N450" s="6">
        <v>113.32</v>
      </c>
    </row>
    <row r="451" spans="1:14" x14ac:dyDescent="0.2">
      <c r="A451" s="64" t="s">
        <v>12</v>
      </c>
      <c r="B451" s="64" t="s">
        <v>290</v>
      </c>
      <c r="C451" s="64">
        <v>16</v>
      </c>
      <c r="D451" s="64">
        <v>1</v>
      </c>
      <c r="E451" s="6">
        <v>289638.96000000002</v>
      </c>
      <c r="F451" s="6">
        <v>129.16</v>
      </c>
      <c r="G451" s="6">
        <v>289638.96000000002</v>
      </c>
      <c r="H451" s="6">
        <v>152.88</v>
      </c>
      <c r="I451" s="6">
        <v>289638.96000000002</v>
      </c>
      <c r="J451" s="6">
        <v>152.88</v>
      </c>
      <c r="K451" s="6">
        <v>289638.96000000002</v>
      </c>
      <c r="L451" s="6">
        <v>130.74</v>
      </c>
      <c r="M451" s="6">
        <v>289638.96000000002</v>
      </c>
      <c r="N451" s="6">
        <v>135.71</v>
      </c>
    </row>
    <row r="452" spans="1:14" x14ac:dyDescent="0.2">
      <c r="A452" s="64" t="s">
        <v>12</v>
      </c>
      <c r="B452" s="64" t="s">
        <v>290</v>
      </c>
      <c r="C452" s="64">
        <v>18</v>
      </c>
      <c r="D452" s="64">
        <v>1</v>
      </c>
      <c r="E452" s="6">
        <v>297332.74</v>
      </c>
      <c r="F452" s="6">
        <v>133.86000000000001</v>
      </c>
      <c r="G452" s="6">
        <v>297332.74</v>
      </c>
      <c r="H452" s="6">
        <v>147.35</v>
      </c>
      <c r="I452" s="6">
        <v>297332.74</v>
      </c>
      <c r="J452" s="6">
        <v>147.35</v>
      </c>
      <c r="K452" s="6">
        <v>297332.74</v>
      </c>
      <c r="L452" s="6">
        <v>124.9</v>
      </c>
      <c r="M452" s="6">
        <v>298750.81</v>
      </c>
      <c r="N452" s="6">
        <v>154.22999999999999</v>
      </c>
    </row>
    <row r="453" spans="1:14" x14ac:dyDescent="0.2">
      <c r="A453" s="64" t="s">
        <v>12</v>
      </c>
      <c r="B453" s="64" t="s">
        <v>290</v>
      </c>
      <c r="C453" s="64">
        <v>20</v>
      </c>
      <c r="D453" s="64">
        <v>1</v>
      </c>
      <c r="E453" s="6">
        <v>352405.32</v>
      </c>
      <c r="F453" s="6">
        <v>160.72</v>
      </c>
      <c r="G453" s="6">
        <v>352363.49</v>
      </c>
      <c r="H453" s="6">
        <v>179.01</v>
      </c>
      <c r="I453" s="6">
        <v>352363.49</v>
      </c>
      <c r="J453" s="6">
        <v>179.01</v>
      </c>
      <c r="K453" s="6">
        <v>352363.49</v>
      </c>
      <c r="L453" s="6">
        <v>171.13</v>
      </c>
      <c r="M453" s="6">
        <v>352363.49</v>
      </c>
      <c r="N453" s="6">
        <v>208.74</v>
      </c>
    </row>
    <row r="454" spans="1:14" x14ac:dyDescent="0.2">
      <c r="A454" s="64" t="s">
        <v>12</v>
      </c>
      <c r="B454" s="64" t="s">
        <v>290</v>
      </c>
      <c r="C454" s="64">
        <v>22</v>
      </c>
      <c r="D454" s="64">
        <v>1</v>
      </c>
      <c r="E454" s="6">
        <v>396792.18</v>
      </c>
      <c r="F454" s="6">
        <v>349.54</v>
      </c>
      <c r="G454" s="6">
        <v>396792.18</v>
      </c>
      <c r="H454" s="6">
        <v>454.36</v>
      </c>
      <c r="I454" s="6">
        <v>396792.18</v>
      </c>
      <c r="J454" s="6">
        <v>454.36</v>
      </c>
      <c r="K454" s="6">
        <v>384066.12</v>
      </c>
      <c r="L454" s="6">
        <v>135.62</v>
      </c>
      <c r="M454" s="6">
        <v>396792.18</v>
      </c>
      <c r="N454" s="6">
        <v>319.49</v>
      </c>
    </row>
    <row r="455" spans="1:14" x14ac:dyDescent="0.2">
      <c r="A455" s="64"/>
      <c r="B455" s="64"/>
      <c r="C455" s="64"/>
      <c r="D455" s="64"/>
      <c r="E455" s="6"/>
      <c r="F455" s="6"/>
      <c r="G455" s="6"/>
      <c r="H455" s="6"/>
      <c r="I455" s="6"/>
      <c r="J455" s="6"/>
      <c r="K455" s="6"/>
      <c r="L455" s="6"/>
      <c r="M455" s="6"/>
      <c r="N455" s="6"/>
    </row>
    <row r="456" spans="1:14" x14ac:dyDescent="0.2">
      <c r="A456" s="64" t="s">
        <v>12</v>
      </c>
      <c r="B456" s="64" t="s">
        <v>290</v>
      </c>
      <c r="C456" s="64">
        <v>4</v>
      </c>
      <c r="D456" s="64">
        <v>0.5</v>
      </c>
      <c r="E456" s="6">
        <v>139190.54</v>
      </c>
      <c r="F456" s="6">
        <v>26.04</v>
      </c>
      <c r="G456" s="6">
        <v>139190.54</v>
      </c>
      <c r="H456" s="6">
        <v>24.79</v>
      </c>
      <c r="I456" s="6">
        <v>139190.54</v>
      </c>
      <c r="J456" s="6">
        <v>24.79</v>
      </c>
      <c r="K456" s="6">
        <v>139190.54</v>
      </c>
      <c r="L456" s="6">
        <v>24.73</v>
      </c>
      <c r="M456" s="6">
        <v>139190.54</v>
      </c>
      <c r="N456" s="6">
        <v>25.66</v>
      </c>
    </row>
    <row r="457" spans="1:14" x14ac:dyDescent="0.2">
      <c r="A457" s="64" t="s">
        <v>12</v>
      </c>
      <c r="B457" s="64" t="s">
        <v>290</v>
      </c>
      <c r="C457" s="64">
        <v>6</v>
      </c>
      <c r="D457" s="64">
        <v>0.5</v>
      </c>
      <c r="E457" s="6">
        <v>145193.07</v>
      </c>
      <c r="F457" s="6">
        <v>37.049999999999997</v>
      </c>
      <c r="G457" s="6">
        <v>145193.07</v>
      </c>
      <c r="H457" s="6">
        <v>43.87</v>
      </c>
      <c r="I457" s="6">
        <v>145193.07</v>
      </c>
      <c r="J457" s="6">
        <v>43.87</v>
      </c>
      <c r="K457" s="6">
        <v>145193.07</v>
      </c>
      <c r="L457" s="6">
        <v>36.03</v>
      </c>
      <c r="M457" s="6">
        <v>145193.07</v>
      </c>
      <c r="N457" s="6">
        <v>39.49</v>
      </c>
    </row>
    <row r="458" spans="1:14" x14ac:dyDescent="0.2">
      <c r="A458" s="64" t="s">
        <v>12</v>
      </c>
      <c r="B458" s="64" t="s">
        <v>290</v>
      </c>
      <c r="C458" s="64">
        <v>8</v>
      </c>
      <c r="D458" s="64">
        <v>0.5</v>
      </c>
      <c r="E458" s="6">
        <v>229531.08</v>
      </c>
      <c r="F458" s="6">
        <v>63.22</v>
      </c>
      <c r="G458" s="6">
        <v>231405.61</v>
      </c>
      <c r="H458" s="6">
        <v>61.69</v>
      </c>
      <c r="I458" s="6">
        <v>231405.61</v>
      </c>
      <c r="J458" s="6">
        <v>61.69</v>
      </c>
      <c r="K458" s="6">
        <v>229531.08</v>
      </c>
      <c r="L458" s="6">
        <v>58.54</v>
      </c>
      <c r="M458" s="6">
        <v>231586.53</v>
      </c>
      <c r="N458" s="6">
        <v>68.52</v>
      </c>
    </row>
    <row r="459" spans="1:14" x14ac:dyDescent="0.2">
      <c r="A459" s="64" t="s">
        <v>12</v>
      </c>
      <c r="B459" s="64" t="s">
        <v>290</v>
      </c>
      <c r="C459" s="64">
        <v>10</v>
      </c>
      <c r="D459" s="64">
        <v>0.5</v>
      </c>
      <c r="E459" s="6">
        <v>250939.8</v>
      </c>
      <c r="F459" s="6">
        <v>97.4</v>
      </c>
      <c r="G459" s="6">
        <v>250939.8</v>
      </c>
      <c r="H459" s="6">
        <v>77.760000000000005</v>
      </c>
      <c r="I459" s="6">
        <v>250939.8</v>
      </c>
      <c r="J459" s="6">
        <v>77.760000000000005</v>
      </c>
      <c r="K459" s="6">
        <v>250939.8</v>
      </c>
      <c r="L459" s="6">
        <v>90.65</v>
      </c>
      <c r="M459" s="6">
        <v>250939.8</v>
      </c>
      <c r="N459" s="6">
        <v>106.56</v>
      </c>
    </row>
    <row r="460" spans="1:14" x14ac:dyDescent="0.2">
      <c r="A460" s="64" t="s">
        <v>12</v>
      </c>
      <c r="B460" s="64" t="s">
        <v>290</v>
      </c>
      <c r="C460" s="64">
        <v>12</v>
      </c>
      <c r="D460" s="64">
        <v>0.5</v>
      </c>
      <c r="E460" s="6">
        <v>313829.02</v>
      </c>
      <c r="F460" s="6">
        <v>119.7</v>
      </c>
      <c r="G460" s="6">
        <v>315660.99</v>
      </c>
      <c r="H460" s="6">
        <v>161.02000000000001</v>
      </c>
      <c r="I460" s="6">
        <v>315660.99</v>
      </c>
      <c r="J460" s="6">
        <v>161.02000000000001</v>
      </c>
      <c r="K460" s="6">
        <v>313829.02</v>
      </c>
      <c r="L460" s="6">
        <v>122.73</v>
      </c>
      <c r="M460" s="6">
        <v>314372.18</v>
      </c>
      <c r="N460" s="6">
        <v>107.22</v>
      </c>
    </row>
    <row r="461" spans="1:14" x14ac:dyDescent="0.2">
      <c r="A461" s="64" t="s">
        <v>12</v>
      </c>
      <c r="B461" s="64" t="s">
        <v>290</v>
      </c>
      <c r="C461" s="64">
        <v>14</v>
      </c>
      <c r="D461" s="64">
        <v>0.5</v>
      </c>
      <c r="E461" s="6">
        <v>315508.52</v>
      </c>
      <c r="F461" s="6">
        <v>304.32</v>
      </c>
      <c r="G461" s="6">
        <v>316108.58</v>
      </c>
      <c r="H461" s="6">
        <v>268.45999999999998</v>
      </c>
      <c r="I461" s="6">
        <v>316108.58</v>
      </c>
      <c r="J461" s="6">
        <v>268.45999999999998</v>
      </c>
      <c r="K461" s="6">
        <v>315841.88</v>
      </c>
      <c r="L461" s="6">
        <v>200.21</v>
      </c>
      <c r="M461" s="14">
        <v>316108.58</v>
      </c>
      <c r="N461" s="14">
        <v>205.92</v>
      </c>
    </row>
    <row r="462" spans="1:14" x14ac:dyDescent="0.2">
      <c r="A462" s="64" t="s">
        <v>12</v>
      </c>
      <c r="B462" s="64" t="s">
        <v>290</v>
      </c>
      <c r="C462" s="64">
        <v>16</v>
      </c>
      <c r="D462" s="64">
        <v>0.5</v>
      </c>
      <c r="E462" s="6">
        <v>387794.15</v>
      </c>
      <c r="F462" s="6">
        <v>380.45</v>
      </c>
      <c r="G462" s="6">
        <v>387381.65</v>
      </c>
      <c r="H462" s="6">
        <v>758.06</v>
      </c>
      <c r="I462" s="6">
        <v>387381.65</v>
      </c>
      <c r="J462" s="6">
        <v>758.06</v>
      </c>
      <c r="K462" s="6">
        <v>387267.58</v>
      </c>
      <c r="L462" s="6">
        <v>448.28</v>
      </c>
      <c r="M462" s="14">
        <v>387860.26</v>
      </c>
      <c r="N462" s="14">
        <v>322.79000000000002</v>
      </c>
    </row>
    <row r="463" spans="1:14" x14ac:dyDescent="0.2">
      <c r="A463" s="64" t="s">
        <v>12</v>
      </c>
      <c r="B463" s="64" t="s">
        <v>290</v>
      </c>
      <c r="C463" s="64">
        <v>18</v>
      </c>
      <c r="D463" s="64">
        <v>0.5</v>
      </c>
      <c r="E463" s="6">
        <v>401487.49</v>
      </c>
      <c r="F463" s="6">
        <v>246.73</v>
      </c>
      <c r="G463" s="6">
        <v>400327.55</v>
      </c>
      <c r="H463" s="6">
        <v>539.34</v>
      </c>
      <c r="I463" s="6">
        <v>400327.55</v>
      </c>
      <c r="J463" s="6">
        <v>539.34</v>
      </c>
      <c r="K463" s="6">
        <v>400327.55</v>
      </c>
      <c r="L463" s="6">
        <v>368.95</v>
      </c>
      <c r="M463" s="14">
        <v>400735.6</v>
      </c>
      <c r="N463" s="14">
        <v>400.93</v>
      </c>
    </row>
    <row r="464" spans="1:14" x14ac:dyDescent="0.2">
      <c r="A464" s="64" t="s">
        <v>12</v>
      </c>
      <c r="B464" s="64" t="s">
        <v>290</v>
      </c>
      <c r="C464" s="64">
        <v>20</v>
      </c>
      <c r="D464" s="64">
        <v>0.5</v>
      </c>
      <c r="E464" s="6">
        <v>462977.25</v>
      </c>
      <c r="F464" s="6">
        <v>502.3</v>
      </c>
      <c r="G464" s="6">
        <v>464664.22</v>
      </c>
      <c r="H464" s="6">
        <v>356.29</v>
      </c>
      <c r="I464" s="6">
        <v>464664.22</v>
      </c>
      <c r="J464" s="6">
        <v>356.29</v>
      </c>
      <c r="K464" s="6">
        <v>465475.1</v>
      </c>
      <c r="L464" s="6">
        <v>508.6</v>
      </c>
      <c r="M464" s="14">
        <v>467301.73</v>
      </c>
      <c r="N464" s="14">
        <v>567.41</v>
      </c>
    </row>
    <row r="465" spans="1:14" x14ac:dyDescent="0.2">
      <c r="A465" s="64" t="s">
        <v>12</v>
      </c>
      <c r="B465" s="64" t="s">
        <v>290</v>
      </c>
      <c r="C465" s="64">
        <v>22</v>
      </c>
      <c r="D465" s="64">
        <v>0.5</v>
      </c>
      <c r="E465" s="6">
        <v>523431.67</v>
      </c>
      <c r="F465" s="6">
        <v>694.47</v>
      </c>
      <c r="G465" s="6">
        <v>523801.01</v>
      </c>
      <c r="H465" s="6">
        <v>1364.63</v>
      </c>
      <c r="I465" s="6">
        <v>523801.01</v>
      </c>
      <c r="J465" s="6">
        <v>1364.63</v>
      </c>
      <c r="K465" s="6">
        <v>524944.62</v>
      </c>
      <c r="L465" s="6">
        <v>725.12</v>
      </c>
      <c r="M465" s="14">
        <v>523290.07</v>
      </c>
      <c r="N465" s="14">
        <v>712.74</v>
      </c>
    </row>
    <row r="466" spans="1:14" x14ac:dyDescent="0.2">
      <c r="E466" s="6"/>
      <c r="F466" s="6"/>
      <c r="G466" s="6"/>
      <c r="H466" s="6"/>
      <c r="I466" s="6"/>
      <c r="J466" s="6"/>
      <c r="K466" s="6"/>
      <c r="L466" s="6"/>
    </row>
    <row r="467" spans="1:14" x14ac:dyDescent="0.2">
      <c r="A467" s="64" t="s">
        <v>12</v>
      </c>
      <c r="B467" s="64" t="s">
        <v>290</v>
      </c>
      <c r="C467" s="64">
        <v>4</v>
      </c>
      <c r="D467" s="64">
        <v>0.3</v>
      </c>
      <c r="E467" s="6">
        <v>171236.47</v>
      </c>
      <c r="F467" s="6">
        <v>26.75</v>
      </c>
      <c r="G467" s="6">
        <v>171236.47</v>
      </c>
      <c r="H467" s="6">
        <v>30</v>
      </c>
      <c r="I467" s="6">
        <v>171236.47</v>
      </c>
      <c r="J467" s="6">
        <v>30</v>
      </c>
      <c r="K467" s="6">
        <v>171236.47</v>
      </c>
      <c r="L467" s="6">
        <v>27.62</v>
      </c>
      <c r="M467" s="14">
        <v>171236.47</v>
      </c>
      <c r="N467" s="14">
        <v>27.78</v>
      </c>
    </row>
    <row r="468" spans="1:14" x14ac:dyDescent="0.2">
      <c r="A468" s="64" t="s">
        <v>12</v>
      </c>
      <c r="B468" s="64" t="s">
        <v>290</v>
      </c>
      <c r="C468" s="64">
        <v>6</v>
      </c>
      <c r="D468" s="64">
        <v>0.3</v>
      </c>
      <c r="E468" s="6">
        <v>179141.15</v>
      </c>
      <c r="F468" s="6">
        <v>55.33</v>
      </c>
      <c r="G468" s="6">
        <v>179141.15</v>
      </c>
      <c r="H468" s="6">
        <v>77.53</v>
      </c>
      <c r="I468" s="6">
        <v>179141.15</v>
      </c>
      <c r="J468" s="6">
        <v>77.53</v>
      </c>
      <c r="K468" s="6">
        <v>179141.15</v>
      </c>
      <c r="L468" s="6">
        <v>60.16</v>
      </c>
      <c r="M468" s="14">
        <v>179141.15</v>
      </c>
      <c r="N468" s="14">
        <v>54.51</v>
      </c>
    </row>
    <row r="469" spans="1:14" x14ac:dyDescent="0.2">
      <c r="A469" s="64" t="s">
        <v>12</v>
      </c>
      <c r="B469" s="64" t="s">
        <v>290</v>
      </c>
      <c r="C469" s="64">
        <v>8</v>
      </c>
      <c r="D469" s="64">
        <v>0.3</v>
      </c>
      <c r="E469" s="6">
        <v>288737.75</v>
      </c>
      <c r="F469" s="6">
        <v>100.08</v>
      </c>
      <c r="G469" s="6">
        <v>289407.37</v>
      </c>
      <c r="H469" s="6">
        <v>127.1</v>
      </c>
      <c r="I469" s="6">
        <v>289407.37</v>
      </c>
      <c r="J469" s="6">
        <v>127.1</v>
      </c>
      <c r="K469" s="6">
        <v>288737.75</v>
      </c>
      <c r="L469" s="6">
        <v>93.93</v>
      </c>
      <c r="M469" s="14">
        <v>288737.75</v>
      </c>
      <c r="N469" s="14">
        <v>107.55</v>
      </c>
    </row>
    <row r="470" spans="1:14" x14ac:dyDescent="0.2">
      <c r="A470" s="64" t="s">
        <v>12</v>
      </c>
      <c r="B470" s="64" t="s">
        <v>290</v>
      </c>
      <c r="C470" s="64">
        <v>10</v>
      </c>
      <c r="D470" s="64">
        <v>0.3</v>
      </c>
      <c r="E470" s="6">
        <v>373684.47</v>
      </c>
      <c r="F470" s="6">
        <v>214.42</v>
      </c>
      <c r="G470" s="6">
        <v>373820.65</v>
      </c>
      <c r="H470" s="6">
        <v>233.98</v>
      </c>
      <c r="I470" s="6">
        <v>373820.65</v>
      </c>
      <c r="J470" s="6">
        <v>233.98</v>
      </c>
      <c r="K470" s="6">
        <v>373452.94</v>
      </c>
      <c r="L470" s="6">
        <v>236.29</v>
      </c>
      <c r="M470" s="14">
        <v>373316.76</v>
      </c>
      <c r="N470" s="14">
        <v>228.41</v>
      </c>
    </row>
    <row r="471" spans="1:14" x14ac:dyDescent="0.2">
      <c r="A471" s="64" t="s">
        <v>12</v>
      </c>
      <c r="B471" s="64" t="s">
        <v>290</v>
      </c>
      <c r="C471" s="64">
        <v>12</v>
      </c>
      <c r="D471" s="64">
        <v>0.3</v>
      </c>
      <c r="E471" s="6">
        <v>387312.85</v>
      </c>
      <c r="F471" s="6">
        <v>291.61</v>
      </c>
      <c r="G471" s="6">
        <v>387312.85</v>
      </c>
      <c r="H471" s="6">
        <v>415.26</v>
      </c>
      <c r="I471" s="6">
        <v>387312.85</v>
      </c>
      <c r="J471" s="6">
        <v>415.26</v>
      </c>
      <c r="K471" s="6">
        <v>387312.85</v>
      </c>
      <c r="L471" s="6">
        <v>312.99</v>
      </c>
      <c r="M471" s="14">
        <v>387312.85</v>
      </c>
      <c r="N471" s="14">
        <v>283.38</v>
      </c>
    </row>
    <row r="472" spans="1:14" x14ac:dyDescent="0.2">
      <c r="A472" s="64" t="s">
        <v>12</v>
      </c>
      <c r="B472" s="64" t="s">
        <v>290</v>
      </c>
      <c r="C472" s="64">
        <v>14</v>
      </c>
      <c r="D472" s="64">
        <v>0.3</v>
      </c>
      <c r="E472" s="6">
        <v>376604.61</v>
      </c>
      <c r="F472" s="6">
        <v>678.9</v>
      </c>
      <c r="G472" s="6">
        <v>377678.03</v>
      </c>
      <c r="H472" s="6">
        <v>1165.4100000000001</v>
      </c>
      <c r="I472" s="6">
        <v>377678.03</v>
      </c>
      <c r="J472" s="6">
        <v>1165.4100000000001</v>
      </c>
      <c r="K472" s="6">
        <v>377765.46</v>
      </c>
      <c r="L472" s="6">
        <v>874.52</v>
      </c>
      <c r="M472" s="14">
        <v>376604.61</v>
      </c>
      <c r="N472" s="14">
        <v>745.46</v>
      </c>
    </row>
    <row r="473" spans="1:14" x14ac:dyDescent="0.2">
      <c r="A473" s="64" t="s">
        <v>12</v>
      </c>
      <c r="B473" s="64" t="s">
        <v>290</v>
      </c>
      <c r="C473" s="64">
        <v>16</v>
      </c>
      <c r="D473" s="64">
        <v>0.3</v>
      </c>
      <c r="E473" s="6">
        <v>465559.93</v>
      </c>
      <c r="F473" s="6">
        <v>1145.55</v>
      </c>
      <c r="G473" s="14">
        <v>465559.93</v>
      </c>
      <c r="H473" s="14">
        <v>1433.36</v>
      </c>
      <c r="I473" s="14">
        <v>465559.93</v>
      </c>
      <c r="J473" s="14">
        <v>1433.36</v>
      </c>
      <c r="K473" s="6">
        <v>465638.75</v>
      </c>
      <c r="L473" s="6">
        <v>1317.86</v>
      </c>
      <c r="M473" s="14">
        <v>465559.93</v>
      </c>
      <c r="N473" s="14">
        <v>1247.49</v>
      </c>
    </row>
    <row r="474" spans="1:14" x14ac:dyDescent="0.2">
      <c r="A474" s="64" t="s">
        <v>12</v>
      </c>
      <c r="B474" s="64" t="s">
        <v>290</v>
      </c>
      <c r="C474" s="64">
        <v>18</v>
      </c>
      <c r="D474" s="64">
        <v>0.3</v>
      </c>
      <c r="E474" s="6">
        <v>478750.47</v>
      </c>
      <c r="F474" s="6">
        <v>983.34</v>
      </c>
      <c r="G474" s="14">
        <v>478750.47</v>
      </c>
      <c r="H474" s="14">
        <v>3014.6</v>
      </c>
      <c r="I474" s="14">
        <v>478750.47</v>
      </c>
      <c r="J474" s="14">
        <v>3014.6</v>
      </c>
      <c r="K474" s="6">
        <v>491860.73</v>
      </c>
      <c r="L474" s="6">
        <v>1681.31</v>
      </c>
      <c r="M474" s="14">
        <v>478750.47</v>
      </c>
      <c r="N474" s="14">
        <v>1611.71</v>
      </c>
    </row>
    <row r="475" spans="1:14" x14ac:dyDescent="0.2">
      <c r="A475" s="64" t="s">
        <v>12</v>
      </c>
      <c r="B475" s="64" t="s">
        <v>290</v>
      </c>
      <c r="C475" s="64">
        <v>20</v>
      </c>
      <c r="D475" s="64">
        <v>0.3</v>
      </c>
      <c r="E475" s="6">
        <v>558511</v>
      </c>
      <c r="F475" s="6">
        <v>1708.63</v>
      </c>
      <c r="G475" s="14">
        <v>554511.74</v>
      </c>
      <c r="H475" s="14">
        <v>2534.9699999999998</v>
      </c>
      <c r="I475" s="14">
        <v>554511.74</v>
      </c>
      <c r="J475" s="14">
        <v>2534.9699999999998</v>
      </c>
      <c r="K475" s="6">
        <v>555153.32999999996</v>
      </c>
      <c r="L475" s="6">
        <v>1442.18</v>
      </c>
      <c r="M475" s="14">
        <v>556005.18000000005</v>
      </c>
      <c r="N475" s="14">
        <v>1142.3599999999999</v>
      </c>
    </row>
    <row r="476" spans="1:14" x14ac:dyDescent="0.2">
      <c r="A476" s="64" t="s">
        <v>12</v>
      </c>
      <c r="B476" s="64" t="s">
        <v>290</v>
      </c>
      <c r="C476" s="64">
        <v>22</v>
      </c>
      <c r="D476" s="64">
        <v>0.3</v>
      </c>
      <c r="E476" s="6">
        <v>624836.23</v>
      </c>
      <c r="F476" s="6">
        <v>2462.7800000000002</v>
      </c>
      <c r="G476" s="14">
        <v>623581.11</v>
      </c>
      <c r="H476" s="14">
        <v>3693.64</v>
      </c>
      <c r="I476" s="14">
        <v>623581.11</v>
      </c>
      <c r="J476" s="14">
        <v>3693.64</v>
      </c>
      <c r="K476" s="6">
        <v>626043.14</v>
      </c>
      <c r="L476" s="6">
        <v>2893.18</v>
      </c>
      <c r="M476" s="14">
        <v>626629.99</v>
      </c>
      <c r="N476" s="14">
        <v>2241.4499999999998</v>
      </c>
    </row>
    <row r="477" spans="1:14" x14ac:dyDescent="0.2">
      <c r="A477" s="66"/>
      <c r="B477" s="66"/>
      <c r="C477" s="66"/>
      <c r="D477" s="66"/>
      <c r="E477" s="5"/>
      <c r="F477" s="5"/>
      <c r="G477" s="66"/>
      <c r="H477" s="69"/>
      <c r="I477" s="66"/>
      <c r="J477" s="69"/>
      <c r="K477" s="67"/>
      <c r="L477" s="67"/>
      <c r="M477" s="66"/>
      <c r="N477" s="66"/>
    </row>
    <row r="478" spans="1:14" x14ac:dyDescent="0.2">
      <c r="A478" s="64" t="s">
        <v>13</v>
      </c>
      <c r="B478" s="64" t="s">
        <v>290</v>
      </c>
      <c r="C478" s="64">
        <v>4</v>
      </c>
      <c r="D478" s="64">
        <v>1</v>
      </c>
      <c r="E478" s="6">
        <v>101388.56</v>
      </c>
      <c r="F478" s="6">
        <v>24.05</v>
      </c>
      <c r="G478" s="6">
        <v>101388.56</v>
      </c>
      <c r="H478" s="6">
        <v>23.63</v>
      </c>
      <c r="I478" s="6">
        <v>101388.56</v>
      </c>
      <c r="J478" s="6">
        <v>23.63</v>
      </c>
      <c r="K478" s="6">
        <v>101388.56</v>
      </c>
      <c r="L478" s="6">
        <v>23.64</v>
      </c>
      <c r="M478" s="14">
        <v>101388.56</v>
      </c>
      <c r="N478" s="14">
        <v>24.03</v>
      </c>
    </row>
    <row r="479" spans="1:14" x14ac:dyDescent="0.2">
      <c r="A479" s="64" t="s">
        <v>13</v>
      </c>
      <c r="B479" s="64" t="s">
        <v>290</v>
      </c>
      <c r="C479" s="64">
        <v>6</v>
      </c>
      <c r="D479" s="64">
        <v>1</v>
      </c>
      <c r="E479" s="6">
        <v>166514.93</v>
      </c>
      <c r="F479" s="6">
        <v>37.340000000000003</v>
      </c>
      <c r="G479" s="6">
        <v>166514.93</v>
      </c>
      <c r="H479" s="6">
        <v>37.36</v>
      </c>
      <c r="I479" s="6">
        <v>166514.93</v>
      </c>
      <c r="J479" s="6">
        <v>37.36</v>
      </c>
      <c r="K479" s="6">
        <v>166514.93</v>
      </c>
      <c r="L479" s="6">
        <v>38.25</v>
      </c>
      <c r="M479" s="14">
        <v>166514.93</v>
      </c>
      <c r="N479" s="14">
        <v>38.22</v>
      </c>
    </row>
    <row r="480" spans="1:14" x14ac:dyDescent="0.2">
      <c r="A480" s="64" t="s">
        <v>13</v>
      </c>
      <c r="B480" s="64" t="s">
        <v>290</v>
      </c>
      <c r="C480" s="64">
        <v>8</v>
      </c>
      <c r="D480" s="64">
        <v>1</v>
      </c>
      <c r="E480" s="6">
        <v>175354.92</v>
      </c>
      <c r="F480" s="6">
        <v>52.91</v>
      </c>
      <c r="G480" s="6">
        <v>175354.92</v>
      </c>
      <c r="H480" s="6">
        <v>52.4</v>
      </c>
      <c r="I480" s="6">
        <v>175354.92</v>
      </c>
      <c r="J480" s="6">
        <v>52.4</v>
      </c>
      <c r="K480" s="6">
        <v>175354.92</v>
      </c>
      <c r="L480" s="6">
        <v>51.45</v>
      </c>
      <c r="M480" s="14">
        <v>175354.92</v>
      </c>
      <c r="N480" s="14">
        <v>56.45</v>
      </c>
    </row>
    <row r="481" spans="1:14" x14ac:dyDescent="0.2">
      <c r="A481" s="64" t="s">
        <v>13</v>
      </c>
      <c r="B481" s="64" t="s">
        <v>290</v>
      </c>
      <c r="C481" s="64">
        <v>10</v>
      </c>
      <c r="D481" s="64">
        <v>1</v>
      </c>
      <c r="E481" s="6">
        <v>224931.04</v>
      </c>
      <c r="F481" s="6">
        <v>74.67</v>
      </c>
      <c r="G481" s="6">
        <v>224908.14</v>
      </c>
      <c r="H481" s="6">
        <v>74.8</v>
      </c>
      <c r="I481" s="6">
        <v>224908.14</v>
      </c>
      <c r="J481" s="6">
        <v>74.8</v>
      </c>
      <c r="K481" s="6">
        <v>224931.04</v>
      </c>
      <c r="L481" s="6">
        <v>71.88</v>
      </c>
      <c r="M481" s="14">
        <v>225316.98</v>
      </c>
      <c r="N481" s="14">
        <v>68.349999999999994</v>
      </c>
    </row>
    <row r="482" spans="1:14" x14ac:dyDescent="0.2">
      <c r="A482" s="64" t="s">
        <v>13</v>
      </c>
      <c r="B482" s="64" t="s">
        <v>290</v>
      </c>
      <c r="C482" s="64">
        <v>12</v>
      </c>
      <c r="D482" s="64">
        <v>1</v>
      </c>
      <c r="E482" s="6">
        <v>232150.1</v>
      </c>
      <c r="F482" s="6">
        <v>81.2</v>
      </c>
      <c r="G482" s="6">
        <v>232150.1</v>
      </c>
      <c r="H482" s="6">
        <v>66.87</v>
      </c>
      <c r="I482" s="6">
        <v>232150.1</v>
      </c>
      <c r="J482" s="6">
        <v>66.87</v>
      </c>
      <c r="K482" s="6">
        <v>232150.1</v>
      </c>
      <c r="L482" s="6">
        <v>74.48</v>
      </c>
      <c r="M482" s="14">
        <v>232150.1</v>
      </c>
      <c r="N482" s="14">
        <v>70.45</v>
      </c>
    </row>
    <row r="483" spans="1:14" x14ac:dyDescent="0.2">
      <c r="A483" s="64" t="s">
        <v>13</v>
      </c>
      <c r="B483" s="64" t="s">
        <v>290</v>
      </c>
      <c r="C483" s="64">
        <v>14</v>
      </c>
      <c r="D483" s="64">
        <v>1</v>
      </c>
      <c r="E483" s="6">
        <v>284690.65000000002</v>
      </c>
      <c r="F483" s="6">
        <v>95.17</v>
      </c>
      <c r="G483" s="6">
        <v>284690.65000000002</v>
      </c>
      <c r="H483" s="6">
        <v>91</v>
      </c>
      <c r="I483" s="6">
        <v>284690.65000000002</v>
      </c>
      <c r="J483" s="6">
        <v>91</v>
      </c>
      <c r="K483" s="6">
        <v>284690.65000000002</v>
      </c>
      <c r="L483" s="6">
        <v>90.7</v>
      </c>
      <c r="M483" s="14">
        <v>284690.65000000002</v>
      </c>
      <c r="N483" s="14">
        <v>87</v>
      </c>
    </row>
    <row r="484" spans="1:14" x14ac:dyDescent="0.2">
      <c r="A484" s="64" t="s">
        <v>13</v>
      </c>
      <c r="B484" s="64" t="s">
        <v>290</v>
      </c>
      <c r="C484" s="64">
        <v>16</v>
      </c>
      <c r="D484" s="64">
        <v>1</v>
      </c>
      <c r="E484" s="6">
        <v>292330.02</v>
      </c>
      <c r="F484" s="6">
        <v>121.21</v>
      </c>
      <c r="G484" s="6">
        <v>292330.02</v>
      </c>
      <c r="H484" s="6">
        <v>116.96</v>
      </c>
      <c r="I484" s="6">
        <v>292330.02</v>
      </c>
      <c r="J484" s="6">
        <v>116.96</v>
      </c>
      <c r="K484" s="6">
        <v>292330.02</v>
      </c>
      <c r="L484" s="6">
        <v>106.87</v>
      </c>
      <c r="M484" s="14">
        <v>292330.02</v>
      </c>
      <c r="N484" s="14">
        <v>124.38</v>
      </c>
    </row>
    <row r="485" spans="1:14" x14ac:dyDescent="0.2">
      <c r="A485" s="64" t="s">
        <v>13</v>
      </c>
      <c r="B485" s="64" t="s">
        <v>290</v>
      </c>
      <c r="C485" s="64">
        <v>18</v>
      </c>
      <c r="D485" s="64">
        <v>1</v>
      </c>
      <c r="E485" s="6">
        <v>319188.78999999998</v>
      </c>
      <c r="F485" s="6">
        <v>125.66</v>
      </c>
      <c r="G485" s="6">
        <v>319188.78999999998</v>
      </c>
      <c r="H485" s="6">
        <v>163.83000000000001</v>
      </c>
      <c r="I485" s="6">
        <v>319188.78999999998</v>
      </c>
      <c r="J485" s="6">
        <v>163.83000000000001</v>
      </c>
      <c r="K485" s="6">
        <v>319188.78999999998</v>
      </c>
      <c r="L485" s="6">
        <v>106.7</v>
      </c>
      <c r="M485" s="14">
        <v>319188.78999999998</v>
      </c>
      <c r="N485" s="14">
        <v>109.82</v>
      </c>
    </row>
    <row r="486" spans="1:14" x14ac:dyDescent="0.2">
      <c r="A486" s="64" t="s">
        <v>13</v>
      </c>
      <c r="B486" s="64" t="s">
        <v>290</v>
      </c>
      <c r="C486" s="64">
        <v>20</v>
      </c>
      <c r="D486" s="64">
        <v>1</v>
      </c>
      <c r="E486" s="6">
        <v>349683.52</v>
      </c>
      <c r="F486" s="6">
        <v>190.3</v>
      </c>
      <c r="G486" s="6">
        <v>349683.52</v>
      </c>
      <c r="H486" s="6">
        <v>177.96</v>
      </c>
      <c r="I486" s="6">
        <v>349683.52</v>
      </c>
      <c r="J486" s="6">
        <v>177.96</v>
      </c>
      <c r="K486" s="6">
        <v>349683.52</v>
      </c>
      <c r="L486" s="6">
        <v>179.34</v>
      </c>
      <c r="M486" s="14">
        <v>349683.52</v>
      </c>
      <c r="N486" s="14">
        <v>184.38</v>
      </c>
    </row>
    <row r="487" spans="1:14" x14ac:dyDescent="0.2">
      <c r="A487" s="64" t="s">
        <v>13</v>
      </c>
      <c r="B487" s="64" t="s">
        <v>290</v>
      </c>
      <c r="C487" s="64">
        <v>22</v>
      </c>
      <c r="D487" s="64">
        <v>1</v>
      </c>
      <c r="E487" s="6">
        <v>377777.2</v>
      </c>
      <c r="F487" s="6">
        <v>131.21</v>
      </c>
      <c r="G487" s="6">
        <v>378675.32</v>
      </c>
      <c r="H487" s="6">
        <v>132.56</v>
      </c>
      <c r="I487" s="6">
        <v>378675.32</v>
      </c>
      <c r="J487" s="6">
        <v>132.56</v>
      </c>
      <c r="K487" s="6">
        <v>378675.32</v>
      </c>
      <c r="L487" s="6">
        <v>124.33</v>
      </c>
      <c r="M487" s="14">
        <v>379146.59</v>
      </c>
      <c r="N487" s="14">
        <v>154.15</v>
      </c>
    </row>
    <row r="488" spans="1:14" x14ac:dyDescent="0.2">
      <c r="A488" s="64"/>
      <c r="B488" s="64"/>
      <c r="C488" s="64"/>
      <c r="D488" s="64"/>
      <c r="E488" s="6"/>
      <c r="F488" s="6"/>
      <c r="G488" s="6"/>
      <c r="H488" s="6"/>
      <c r="I488" s="6"/>
      <c r="J488" s="6"/>
      <c r="K488" s="6"/>
      <c r="L488" s="6"/>
    </row>
    <row r="489" spans="1:14" x14ac:dyDescent="0.2">
      <c r="A489" s="64" t="s">
        <v>13</v>
      </c>
      <c r="B489" s="64" t="s">
        <v>290</v>
      </c>
      <c r="C489" s="64">
        <v>4</v>
      </c>
      <c r="D489" s="64">
        <v>0.5</v>
      </c>
      <c r="E489" s="6">
        <v>150498.96</v>
      </c>
      <c r="F489" s="6">
        <v>54.66</v>
      </c>
      <c r="G489" s="6">
        <v>150498.96</v>
      </c>
      <c r="H489" s="6">
        <v>60.39</v>
      </c>
      <c r="I489" s="6">
        <v>150498.96</v>
      </c>
      <c r="J489" s="6">
        <v>60.39</v>
      </c>
      <c r="K489" s="6">
        <v>150498.96</v>
      </c>
      <c r="L489" s="6">
        <v>70.28</v>
      </c>
      <c r="M489" s="14">
        <v>150498.96</v>
      </c>
      <c r="N489" s="14">
        <v>52.05</v>
      </c>
    </row>
    <row r="490" spans="1:14" x14ac:dyDescent="0.2">
      <c r="A490" s="64" t="s">
        <v>13</v>
      </c>
      <c r="B490" s="64" t="s">
        <v>290</v>
      </c>
      <c r="C490" s="64">
        <v>6</v>
      </c>
      <c r="D490" s="64">
        <v>0.5</v>
      </c>
      <c r="E490" s="6">
        <v>239055.06</v>
      </c>
      <c r="F490" s="6">
        <v>76.900000000000006</v>
      </c>
      <c r="G490" s="6">
        <v>239055.06</v>
      </c>
      <c r="H490" s="6">
        <v>109.48</v>
      </c>
      <c r="I490" s="6">
        <v>239055.06</v>
      </c>
      <c r="J490" s="6">
        <v>109.48</v>
      </c>
      <c r="K490" s="6">
        <v>239055.06</v>
      </c>
      <c r="L490" s="6">
        <v>109.25</v>
      </c>
      <c r="M490" s="14">
        <v>239055.06</v>
      </c>
      <c r="N490" s="14">
        <v>96.81</v>
      </c>
    </row>
    <row r="491" spans="1:14" x14ac:dyDescent="0.2">
      <c r="A491" s="64" t="s">
        <v>13</v>
      </c>
      <c r="B491" s="64" t="s">
        <v>290</v>
      </c>
      <c r="C491" s="64">
        <v>8</v>
      </c>
      <c r="D491" s="64">
        <v>0.5</v>
      </c>
      <c r="E491" s="6">
        <v>236320.19</v>
      </c>
      <c r="F491" s="6">
        <v>71.83</v>
      </c>
      <c r="G491" s="6">
        <v>236881.96</v>
      </c>
      <c r="H491" s="6">
        <v>88.7</v>
      </c>
      <c r="I491" s="6">
        <v>236881.96</v>
      </c>
      <c r="J491" s="6">
        <v>88.7</v>
      </c>
      <c r="K491" s="6">
        <v>236320.19</v>
      </c>
      <c r="L491" s="6">
        <v>85.96</v>
      </c>
      <c r="M491" s="14">
        <v>237571.95</v>
      </c>
      <c r="N491" s="14">
        <v>94.02</v>
      </c>
    </row>
    <row r="492" spans="1:14" x14ac:dyDescent="0.2">
      <c r="A492" s="64" t="s">
        <v>13</v>
      </c>
      <c r="B492" s="64" t="s">
        <v>290</v>
      </c>
      <c r="C492" s="64">
        <v>10</v>
      </c>
      <c r="D492" s="64">
        <v>0.5</v>
      </c>
      <c r="E492" s="6">
        <v>303922.32</v>
      </c>
      <c r="F492" s="6">
        <v>124.18</v>
      </c>
      <c r="G492" s="6">
        <v>304960.31</v>
      </c>
      <c r="H492" s="6">
        <v>129.4</v>
      </c>
      <c r="I492" s="6">
        <v>304960.31</v>
      </c>
      <c r="J492" s="6">
        <v>129.4</v>
      </c>
      <c r="K492" s="6">
        <v>303922.32</v>
      </c>
      <c r="L492" s="6">
        <v>127.38</v>
      </c>
      <c r="M492" s="14">
        <v>303922.32</v>
      </c>
      <c r="N492" s="14">
        <v>114.85</v>
      </c>
    </row>
    <row r="493" spans="1:14" x14ac:dyDescent="0.2">
      <c r="A493" s="64" t="s">
        <v>13</v>
      </c>
      <c r="B493" s="64" t="s">
        <v>290</v>
      </c>
      <c r="C493" s="64">
        <v>12</v>
      </c>
      <c r="D493" s="64">
        <v>0.5</v>
      </c>
      <c r="E493" s="6">
        <v>319210.21000000002</v>
      </c>
      <c r="F493" s="6">
        <v>138.58000000000001</v>
      </c>
      <c r="G493" s="6">
        <v>319210.21000000002</v>
      </c>
      <c r="H493" s="6">
        <v>117.48</v>
      </c>
      <c r="I493" s="6">
        <v>319210.21000000002</v>
      </c>
      <c r="J493" s="6">
        <v>117.48</v>
      </c>
      <c r="K493" s="6">
        <v>319917.94</v>
      </c>
      <c r="L493" s="6">
        <v>93.54</v>
      </c>
      <c r="M493" s="14">
        <v>319210.21000000002</v>
      </c>
      <c r="N493" s="14">
        <v>144.08000000000001</v>
      </c>
    </row>
    <row r="494" spans="1:14" x14ac:dyDescent="0.2">
      <c r="A494" s="64" t="s">
        <v>13</v>
      </c>
      <c r="B494" s="64" t="s">
        <v>290</v>
      </c>
      <c r="C494" s="64">
        <v>14</v>
      </c>
      <c r="D494" s="64">
        <v>0.5</v>
      </c>
      <c r="E494" s="6">
        <v>379281.79</v>
      </c>
      <c r="F494" s="6">
        <v>226.6</v>
      </c>
      <c r="G494" s="6">
        <v>377118.53</v>
      </c>
      <c r="H494" s="6">
        <v>200.45</v>
      </c>
      <c r="I494" s="6">
        <v>377118.53</v>
      </c>
      <c r="J494" s="6">
        <v>200.45</v>
      </c>
      <c r="K494" s="6">
        <v>378221.96</v>
      </c>
      <c r="L494" s="6">
        <v>251.98</v>
      </c>
      <c r="M494" s="14">
        <v>379078.3</v>
      </c>
      <c r="N494" s="14">
        <v>219.65</v>
      </c>
    </row>
    <row r="495" spans="1:14" x14ac:dyDescent="0.2">
      <c r="A495" s="64" t="s">
        <v>13</v>
      </c>
      <c r="B495" s="64" t="s">
        <v>290</v>
      </c>
      <c r="C495" s="64">
        <v>16</v>
      </c>
      <c r="D495" s="64">
        <v>0.5</v>
      </c>
      <c r="E495" s="6">
        <v>390788.39</v>
      </c>
      <c r="F495" s="6">
        <v>251.66</v>
      </c>
      <c r="G495" s="6">
        <v>390658.81</v>
      </c>
      <c r="H495" s="6">
        <v>325.48</v>
      </c>
      <c r="I495" s="6">
        <v>390658.81</v>
      </c>
      <c r="J495" s="6">
        <v>325.48</v>
      </c>
      <c r="K495" s="6">
        <v>391539.83</v>
      </c>
      <c r="L495" s="6">
        <v>314.26</v>
      </c>
      <c r="M495" s="14">
        <v>390698.04</v>
      </c>
      <c r="N495" s="14">
        <v>265.49</v>
      </c>
    </row>
    <row r="496" spans="1:14" x14ac:dyDescent="0.2">
      <c r="A496" s="64" t="s">
        <v>13</v>
      </c>
      <c r="B496" s="64" t="s">
        <v>290</v>
      </c>
      <c r="C496" s="64">
        <v>18</v>
      </c>
      <c r="D496" s="64">
        <v>0.5</v>
      </c>
      <c r="E496" s="6">
        <v>421320.96000000002</v>
      </c>
      <c r="F496" s="6">
        <v>278.77999999999997</v>
      </c>
      <c r="G496" s="6">
        <v>420560.98</v>
      </c>
      <c r="H496" s="6">
        <v>318.39999999999998</v>
      </c>
      <c r="I496" s="6">
        <v>420560.98</v>
      </c>
      <c r="J496" s="6">
        <v>318.39999999999998</v>
      </c>
      <c r="K496" s="6">
        <v>418730.33</v>
      </c>
      <c r="L496" s="6">
        <v>364.51</v>
      </c>
      <c r="M496" s="14">
        <v>421405.8</v>
      </c>
      <c r="N496" s="14">
        <v>318.29000000000002</v>
      </c>
    </row>
    <row r="497" spans="1:14" x14ac:dyDescent="0.2">
      <c r="A497" s="64" t="s">
        <v>13</v>
      </c>
      <c r="B497" s="64" t="s">
        <v>290</v>
      </c>
      <c r="C497" s="64">
        <v>20</v>
      </c>
      <c r="D497" s="64">
        <v>0.5</v>
      </c>
      <c r="E497" s="6">
        <v>462736.97</v>
      </c>
      <c r="F497" s="6">
        <v>416.75</v>
      </c>
      <c r="G497" s="6">
        <v>464350.69</v>
      </c>
      <c r="H497" s="6">
        <v>308.85000000000002</v>
      </c>
      <c r="I497" s="6">
        <v>464350.69</v>
      </c>
      <c r="J497" s="6">
        <v>308.85000000000002</v>
      </c>
      <c r="K497" s="6">
        <v>462428.8</v>
      </c>
      <c r="L497" s="6">
        <v>439.37</v>
      </c>
      <c r="M497" s="14">
        <v>462518.88</v>
      </c>
      <c r="N497" s="14">
        <v>345.43</v>
      </c>
    </row>
    <row r="498" spans="1:14" x14ac:dyDescent="0.2">
      <c r="A498" s="64" t="s">
        <v>13</v>
      </c>
      <c r="B498" s="64" t="s">
        <v>290</v>
      </c>
      <c r="C498" s="64">
        <v>22</v>
      </c>
      <c r="D498" s="64">
        <v>0.5</v>
      </c>
      <c r="E498" s="6">
        <v>494782.36</v>
      </c>
      <c r="F498" s="6">
        <v>419.02</v>
      </c>
      <c r="G498" s="6">
        <v>497211.28</v>
      </c>
      <c r="H498" s="6">
        <v>371.23</v>
      </c>
      <c r="I498" s="6">
        <v>497211.28</v>
      </c>
      <c r="J498" s="6">
        <v>371.23</v>
      </c>
      <c r="K498" s="6">
        <v>498185.31</v>
      </c>
      <c r="L498" s="6">
        <v>472.63</v>
      </c>
      <c r="M498" s="14">
        <v>496394.51</v>
      </c>
      <c r="N498" s="14">
        <v>420.35</v>
      </c>
    </row>
    <row r="499" spans="1:14" x14ac:dyDescent="0.2">
      <c r="E499" s="6"/>
      <c r="F499" s="6"/>
      <c r="G499" s="6"/>
      <c r="H499" s="6"/>
      <c r="I499" s="6"/>
      <c r="J499" s="6"/>
      <c r="K499" s="6"/>
      <c r="L499" s="6"/>
    </row>
    <row r="500" spans="1:14" x14ac:dyDescent="0.2">
      <c r="A500" s="64" t="s">
        <v>13</v>
      </c>
      <c r="B500" s="64" t="s">
        <v>290</v>
      </c>
      <c r="C500" s="64">
        <v>4</v>
      </c>
      <c r="D500" s="64">
        <v>0.3</v>
      </c>
      <c r="E500" s="6" t="s">
        <v>15</v>
      </c>
      <c r="F500" s="6">
        <v>35.840000000000003</v>
      </c>
      <c r="G500" s="6" t="s">
        <v>15</v>
      </c>
      <c r="H500" s="6">
        <v>35.43</v>
      </c>
      <c r="I500" s="6" t="s">
        <v>15</v>
      </c>
      <c r="J500" s="6">
        <v>35.43</v>
      </c>
      <c r="K500" s="6" t="s">
        <v>15</v>
      </c>
      <c r="L500" s="6">
        <v>35.799999999999997</v>
      </c>
      <c r="M500" s="14" t="s">
        <v>15</v>
      </c>
      <c r="N500" s="14">
        <v>32.14</v>
      </c>
    </row>
    <row r="501" spans="1:14" x14ac:dyDescent="0.2">
      <c r="A501" s="64" t="s">
        <v>13</v>
      </c>
      <c r="B501" s="64" t="s">
        <v>290</v>
      </c>
      <c r="C501" s="64">
        <v>6</v>
      </c>
      <c r="D501" s="64">
        <v>0.3</v>
      </c>
      <c r="E501" s="6" t="s">
        <v>15</v>
      </c>
      <c r="F501" s="6">
        <v>63.09</v>
      </c>
      <c r="G501" s="6" t="s">
        <v>15</v>
      </c>
      <c r="H501" s="6">
        <v>55.6</v>
      </c>
      <c r="I501" s="6" t="s">
        <v>15</v>
      </c>
      <c r="J501" s="6">
        <v>55.6</v>
      </c>
      <c r="K501" s="6" t="s">
        <v>15</v>
      </c>
      <c r="L501" s="6">
        <v>81.72</v>
      </c>
      <c r="M501" s="14" t="s">
        <v>15</v>
      </c>
      <c r="N501" s="14">
        <v>63.98</v>
      </c>
    </row>
    <row r="502" spans="1:14" x14ac:dyDescent="0.2">
      <c r="A502" s="64" t="s">
        <v>13</v>
      </c>
      <c r="B502" s="64" t="s">
        <v>290</v>
      </c>
      <c r="C502" s="64">
        <v>8</v>
      </c>
      <c r="D502" s="64">
        <v>0.3</v>
      </c>
      <c r="E502" s="6">
        <v>286876.81</v>
      </c>
      <c r="F502" s="6">
        <v>215.04</v>
      </c>
      <c r="G502" s="6">
        <v>286876.81</v>
      </c>
      <c r="H502" s="6">
        <v>120.15</v>
      </c>
      <c r="I502" s="6">
        <v>286876.81</v>
      </c>
      <c r="J502" s="6">
        <v>120.15</v>
      </c>
      <c r="K502" s="6">
        <v>286876.81</v>
      </c>
      <c r="L502" s="6">
        <v>179.27</v>
      </c>
      <c r="M502" s="14">
        <v>286876.81</v>
      </c>
      <c r="N502" s="14">
        <v>169.64</v>
      </c>
    </row>
    <row r="503" spans="1:14" x14ac:dyDescent="0.2">
      <c r="A503" s="64" t="s">
        <v>13</v>
      </c>
      <c r="B503" s="64" t="s">
        <v>290</v>
      </c>
      <c r="C503" s="64">
        <v>10</v>
      </c>
      <c r="D503" s="64">
        <v>0.3</v>
      </c>
      <c r="E503" s="6">
        <v>373098.27</v>
      </c>
      <c r="F503" s="6">
        <v>316.61</v>
      </c>
      <c r="G503" s="6">
        <v>373748.8</v>
      </c>
      <c r="H503" s="6">
        <v>229.42</v>
      </c>
      <c r="I503" s="6">
        <v>373748.8</v>
      </c>
      <c r="J503" s="6">
        <v>229.42</v>
      </c>
      <c r="K503" s="6">
        <v>373748.8</v>
      </c>
      <c r="L503" s="6">
        <v>207.63</v>
      </c>
      <c r="M503" s="14">
        <v>373735.3</v>
      </c>
      <c r="N503" s="14">
        <v>242.44</v>
      </c>
    </row>
    <row r="504" spans="1:14" x14ac:dyDescent="0.2">
      <c r="A504" s="64" t="s">
        <v>13</v>
      </c>
      <c r="B504" s="64" t="s">
        <v>290</v>
      </c>
      <c r="C504" s="64">
        <v>12</v>
      </c>
      <c r="D504" s="64">
        <v>0.3</v>
      </c>
      <c r="E504" s="6">
        <v>391806.56</v>
      </c>
      <c r="F504" s="6">
        <v>312.27</v>
      </c>
      <c r="G504" s="6">
        <v>391550.76</v>
      </c>
      <c r="H504" s="6">
        <v>259.3</v>
      </c>
      <c r="I504" s="6">
        <v>391550.76</v>
      </c>
      <c r="J504" s="6">
        <v>259.3</v>
      </c>
      <c r="K504" s="6">
        <v>391806.56</v>
      </c>
      <c r="L504" s="6">
        <v>249.98</v>
      </c>
      <c r="M504" s="14">
        <v>392580.49</v>
      </c>
      <c r="N504" s="14">
        <v>254.85</v>
      </c>
    </row>
    <row r="505" spans="1:14" x14ac:dyDescent="0.2">
      <c r="A505" s="64" t="s">
        <v>13</v>
      </c>
      <c r="B505" s="64" t="s">
        <v>290</v>
      </c>
      <c r="C505" s="64">
        <v>14</v>
      </c>
      <c r="D505" s="64">
        <v>0.3</v>
      </c>
      <c r="E505" s="6">
        <v>457563.92</v>
      </c>
      <c r="F505" s="6">
        <v>486.1</v>
      </c>
      <c r="G505" s="6">
        <v>456476.13</v>
      </c>
      <c r="H505" s="6">
        <v>415.46</v>
      </c>
      <c r="I505" s="6">
        <v>456476.13</v>
      </c>
      <c r="J505" s="6">
        <v>415.46</v>
      </c>
      <c r="K505" s="6">
        <v>457563.92</v>
      </c>
      <c r="L505" s="6">
        <v>418.7</v>
      </c>
      <c r="M505" s="14">
        <v>458025.14</v>
      </c>
      <c r="N505" s="14">
        <v>372.35</v>
      </c>
    </row>
    <row r="506" spans="1:14" x14ac:dyDescent="0.2">
      <c r="A506" s="64" t="s">
        <v>13</v>
      </c>
      <c r="B506" s="64" t="s">
        <v>290</v>
      </c>
      <c r="C506" s="64">
        <v>16</v>
      </c>
      <c r="D506" s="64">
        <v>0.3</v>
      </c>
      <c r="E506" s="6">
        <v>469985.85</v>
      </c>
      <c r="F506" s="6">
        <v>639.55999999999995</v>
      </c>
      <c r="G506" s="6">
        <v>472853.72</v>
      </c>
      <c r="H506" s="6">
        <v>545.21</v>
      </c>
      <c r="I506" s="6">
        <v>472853.72</v>
      </c>
      <c r="J506" s="6">
        <v>545.21</v>
      </c>
      <c r="K506" s="6">
        <v>470748.5</v>
      </c>
      <c r="L506" s="6">
        <v>824.99</v>
      </c>
      <c r="M506" s="14">
        <v>470714.55</v>
      </c>
      <c r="N506" s="14">
        <v>638.74</v>
      </c>
    </row>
    <row r="507" spans="1:14" x14ac:dyDescent="0.2">
      <c r="A507" s="64" t="s">
        <v>13</v>
      </c>
      <c r="B507" s="64" t="s">
        <v>290</v>
      </c>
      <c r="C507" s="64">
        <v>18</v>
      </c>
      <c r="D507" s="64">
        <v>0.3</v>
      </c>
      <c r="E507" s="6">
        <v>500744.1</v>
      </c>
      <c r="F507" s="6">
        <v>1720.07</v>
      </c>
      <c r="G507" s="6">
        <v>501893.31</v>
      </c>
      <c r="H507" s="6">
        <v>1045.3399999999999</v>
      </c>
      <c r="I507" s="6">
        <v>501893.31</v>
      </c>
      <c r="J507" s="6">
        <v>1045.3399999999999</v>
      </c>
      <c r="K507" s="6">
        <v>499656.79</v>
      </c>
      <c r="L507" s="6">
        <v>1512.28</v>
      </c>
      <c r="M507" s="14">
        <v>500830.15</v>
      </c>
      <c r="N507" s="14">
        <v>1294.78</v>
      </c>
    </row>
    <row r="508" spans="1:14" x14ac:dyDescent="0.2">
      <c r="A508" s="64" t="s">
        <v>13</v>
      </c>
      <c r="B508" s="64" t="s">
        <v>290</v>
      </c>
      <c r="C508" s="64">
        <v>20</v>
      </c>
      <c r="D508" s="64">
        <v>0.3</v>
      </c>
      <c r="E508" s="6">
        <v>556011.01</v>
      </c>
      <c r="F508" s="6">
        <v>1754</v>
      </c>
      <c r="G508" s="6">
        <v>552901.18000000005</v>
      </c>
      <c r="H508" s="6">
        <v>1393.14</v>
      </c>
      <c r="I508" s="6">
        <v>552901.18000000005</v>
      </c>
      <c r="J508" s="6">
        <v>1393.14</v>
      </c>
      <c r="K508" s="6">
        <v>556221.99</v>
      </c>
      <c r="L508" s="6">
        <v>1903.91</v>
      </c>
      <c r="M508" s="14">
        <v>553109.91</v>
      </c>
      <c r="N508" s="14">
        <v>1424.72</v>
      </c>
    </row>
    <row r="509" spans="1:14" x14ac:dyDescent="0.2">
      <c r="A509" s="64" t="s">
        <v>13</v>
      </c>
      <c r="B509" s="64" t="s">
        <v>290</v>
      </c>
      <c r="C509" s="64">
        <v>22</v>
      </c>
      <c r="D509" s="64">
        <v>0.3</v>
      </c>
      <c r="E509" s="6">
        <v>590795.59</v>
      </c>
      <c r="F509" s="6">
        <v>1944.15</v>
      </c>
      <c r="G509" s="6">
        <v>586982.19999999995</v>
      </c>
      <c r="H509" s="6">
        <v>1888.79</v>
      </c>
      <c r="I509" s="6">
        <v>586982.19999999995</v>
      </c>
      <c r="J509" s="6">
        <v>1888.79</v>
      </c>
      <c r="K509" s="6">
        <v>591260.09</v>
      </c>
      <c r="L509" s="6">
        <v>2345.29</v>
      </c>
      <c r="M509" s="14">
        <v>593880.93999999994</v>
      </c>
      <c r="N509" s="14">
        <v>1805.51</v>
      </c>
    </row>
    <row r="510" spans="1:14" x14ac:dyDescent="0.2">
      <c r="A510" s="66"/>
      <c r="B510" s="66"/>
      <c r="C510" s="66"/>
      <c r="D510" s="66"/>
      <c r="G510" s="6"/>
      <c r="H510" s="6"/>
      <c r="I510" s="6"/>
      <c r="J510" s="6"/>
      <c r="K510" s="6"/>
      <c r="L510" s="6"/>
      <c r="N510" s="22"/>
    </row>
    <row r="511" spans="1:14" x14ac:dyDescent="0.2">
      <c r="A511" s="14" t="s">
        <v>14</v>
      </c>
      <c r="B511" s="14" t="s">
        <v>291</v>
      </c>
      <c r="C511" s="14">
        <v>23</v>
      </c>
      <c r="D511" s="14">
        <v>1</v>
      </c>
      <c r="E511" s="14">
        <v>399984.35</v>
      </c>
      <c r="F511" s="14">
        <v>312.61</v>
      </c>
      <c r="G511" s="6">
        <v>399984.35</v>
      </c>
      <c r="H511" s="6">
        <v>268.22000000000003</v>
      </c>
      <c r="I511" s="6">
        <v>399984.35</v>
      </c>
      <c r="J511" s="6">
        <v>268.22000000000003</v>
      </c>
      <c r="K511" s="6">
        <v>393596.26</v>
      </c>
      <c r="L511" s="6">
        <v>239.39</v>
      </c>
      <c r="M511" s="14">
        <v>395730.02</v>
      </c>
      <c r="N511" s="14">
        <v>286.81</v>
      </c>
    </row>
    <row r="512" spans="1:14" x14ac:dyDescent="0.2">
      <c r="A512" s="14" t="s">
        <v>14</v>
      </c>
      <c r="B512" s="14" t="s">
        <v>291</v>
      </c>
      <c r="C512" s="14">
        <v>23</v>
      </c>
      <c r="D512" s="14">
        <v>0.5</v>
      </c>
      <c r="E512" s="6">
        <v>529616.69999999995</v>
      </c>
      <c r="F512" s="14">
        <v>527.19000000000005</v>
      </c>
      <c r="G512" s="6">
        <v>531275.09</v>
      </c>
      <c r="H512" s="6">
        <v>656.75</v>
      </c>
      <c r="I512" s="6">
        <v>531275.09</v>
      </c>
      <c r="J512" s="6">
        <v>656.75</v>
      </c>
      <c r="K512" s="6">
        <v>529574.71</v>
      </c>
      <c r="L512" s="6">
        <v>758.55</v>
      </c>
      <c r="M512" s="14">
        <v>530261.19999999995</v>
      </c>
      <c r="N512" s="14">
        <v>776.16</v>
      </c>
    </row>
    <row r="513" spans="1:14" x14ac:dyDescent="0.2">
      <c r="A513" s="14" t="s">
        <v>14</v>
      </c>
      <c r="B513" s="14" t="s">
        <v>291</v>
      </c>
      <c r="C513" s="14">
        <v>23</v>
      </c>
      <c r="D513" s="14">
        <v>0.3</v>
      </c>
      <c r="E513" s="14">
        <v>630749.18000000005</v>
      </c>
      <c r="F513" s="14">
        <v>2745.84</v>
      </c>
      <c r="G513" s="6">
        <v>631586.03</v>
      </c>
      <c r="H513" s="6">
        <v>2070.12</v>
      </c>
      <c r="I513" s="6">
        <v>631586.03</v>
      </c>
      <c r="J513" s="6">
        <v>2070.12</v>
      </c>
      <c r="K513" s="6">
        <v>610607.38</v>
      </c>
      <c r="L513" s="6">
        <v>2838.59</v>
      </c>
      <c r="M513" s="14">
        <v>633835.38</v>
      </c>
      <c r="N513" s="14">
        <v>3194.24</v>
      </c>
    </row>
  </sheetData>
  <mergeCells count="5">
    <mergeCell ref="E3:F3"/>
    <mergeCell ref="G3:H3"/>
    <mergeCell ref="I3:J3"/>
    <mergeCell ref="K3:L3"/>
    <mergeCell ref="M3:N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A0F956-E034-D34A-B748-B3161BD06EAA}">
  <dimension ref="A2:G459"/>
  <sheetViews>
    <sheetView zoomScale="75" workbookViewId="0">
      <selection activeCell="A2" sqref="A2"/>
    </sheetView>
  </sheetViews>
  <sheetFormatPr baseColWidth="10" defaultRowHeight="16" x14ac:dyDescent="0.2"/>
  <cols>
    <col min="1" max="1" width="16.83203125" style="9" customWidth="1"/>
    <col min="2" max="2" width="17.5" style="9" customWidth="1"/>
    <col min="3" max="3" width="10.6640625" style="9" customWidth="1"/>
    <col min="4" max="6" width="10.83203125" style="9"/>
    <col min="7" max="7" width="18.83203125" style="9" customWidth="1"/>
  </cols>
  <sheetData>
    <row r="2" spans="1:7" ht="27" x14ac:dyDescent="0.35">
      <c r="A2" s="78" t="s">
        <v>21</v>
      </c>
    </row>
    <row r="4" spans="1:7" x14ac:dyDescent="0.2">
      <c r="A4" s="10" t="s">
        <v>2</v>
      </c>
      <c r="B4" s="10" t="s">
        <v>3</v>
      </c>
      <c r="C4" s="10" t="s">
        <v>4</v>
      </c>
      <c r="D4" s="10" t="s">
        <v>22</v>
      </c>
      <c r="E4" s="10" t="s">
        <v>23</v>
      </c>
      <c r="F4" s="10" t="s">
        <v>6</v>
      </c>
      <c r="G4" s="10" t="s">
        <v>24</v>
      </c>
    </row>
    <row r="5" spans="1:7" x14ac:dyDescent="0.2">
      <c r="A5" s="10" t="s">
        <v>9</v>
      </c>
      <c r="B5" s="10" t="s">
        <v>289</v>
      </c>
      <c r="C5" s="10">
        <v>4</v>
      </c>
      <c r="D5" s="10">
        <v>2</v>
      </c>
      <c r="E5" s="10">
        <v>1</v>
      </c>
      <c r="F5" s="10">
        <v>55302.6466735012</v>
      </c>
      <c r="G5" s="10">
        <v>108.84</v>
      </c>
    </row>
    <row r="6" spans="1:7" x14ac:dyDescent="0.2">
      <c r="A6" s="10" t="s">
        <v>9</v>
      </c>
      <c r="B6" s="10" t="s">
        <v>289</v>
      </c>
      <c r="C6" s="10">
        <v>6</v>
      </c>
      <c r="D6" s="10">
        <v>2</v>
      </c>
      <c r="E6" s="10">
        <v>1</v>
      </c>
      <c r="F6" s="10">
        <v>85320.092578363197</v>
      </c>
      <c r="G6" s="10">
        <v>415.06</v>
      </c>
    </row>
    <row r="7" spans="1:7" x14ac:dyDescent="0.2">
      <c r="A7" s="10" t="s">
        <v>9</v>
      </c>
      <c r="B7" s="10" t="s">
        <v>289</v>
      </c>
      <c r="C7" s="10">
        <v>8</v>
      </c>
      <c r="D7" s="10">
        <v>3</v>
      </c>
      <c r="E7" s="10">
        <v>1</v>
      </c>
      <c r="F7" s="10">
        <v>120935.91557553499</v>
      </c>
      <c r="G7" s="10">
        <v>3666.4</v>
      </c>
    </row>
    <row r="8" spans="1:7" x14ac:dyDescent="0.2">
      <c r="A8" s="10" t="s">
        <v>9</v>
      </c>
      <c r="B8" s="10" t="s">
        <v>289</v>
      </c>
      <c r="C8" s="10">
        <v>10</v>
      </c>
      <c r="D8" s="10">
        <v>3</v>
      </c>
      <c r="E8" s="10">
        <v>1</v>
      </c>
      <c r="F8" s="10">
        <v>133173.04800000001</v>
      </c>
      <c r="G8" s="10">
        <v>3694.59</v>
      </c>
    </row>
    <row r="9" spans="1:7" x14ac:dyDescent="0.2">
      <c r="A9" s="10" t="s">
        <v>9</v>
      </c>
      <c r="B9" s="10" t="s">
        <v>289</v>
      </c>
      <c r="C9" s="10">
        <v>12</v>
      </c>
      <c r="D9" s="10">
        <v>4</v>
      </c>
      <c r="E9" s="10">
        <v>1</v>
      </c>
      <c r="F9" s="10">
        <v>164821.16249328299</v>
      </c>
      <c r="G9" s="10">
        <v>3758.42</v>
      </c>
    </row>
    <row r="10" spans="1:7" x14ac:dyDescent="0.2">
      <c r="A10" s="10" t="s">
        <v>9</v>
      </c>
      <c r="B10" s="10" t="s">
        <v>289</v>
      </c>
      <c r="C10" s="10">
        <v>14</v>
      </c>
      <c r="D10" s="10">
        <v>4</v>
      </c>
      <c r="E10" s="10">
        <v>1</v>
      </c>
      <c r="F10" s="10">
        <v>178132.95248459399</v>
      </c>
      <c r="G10" s="10">
        <v>3797.76</v>
      </c>
    </row>
    <row r="11" spans="1:7" x14ac:dyDescent="0.2">
      <c r="A11" s="10" t="s">
        <v>9</v>
      </c>
      <c r="B11" s="10" t="s">
        <v>289</v>
      </c>
      <c r="C11" s="10">
        <v>16</v>
      </c>
      <c r="D11" s="10">
        <v>5</v>
      </c>
      <c r="E11" s="10">
        <v>1</v>
      </c>
      <c r="F11" s="10">
        <v>214372.16984966301</v>
      </c>
      <c r="G11" s="10">
        <v>3903.69</v>
      </c>
    </row>
    <row r="12" spans="1:7" x14ac:dyDescent="0.2">
      <c r="A12" s="10" t="s">
        <v>9</v>
      </c>
      <c r="B12" s="10" t="s">
        <v>289</v>
      </c>
      <c r="C12" s="10">
        <v>18</v>
      </c>
      <c r="D12" s="10">
        <v>6</v>
      </c>
      <c r="E12" s="10">
        <v>1</v>
      </c>
      <c r="F12" s="10">
        <v>262512.720014558</v>
      </c>
      <c r="G12" s="10">
        <v>4072.79</v>
      </c>
    </row>
    <row r="13" spans="1:7" x14ac:dyDescent="0.2">
      <c r="A13" s="10" t="s">
        <v>9</v>
      </c>
      <c r="B13" s="10" t="s">
        <v>289</v>
      </c>
      <c r="C13" s="10">
        <v>20</v>
      </c>
      <c r="D13" s="10">
        <v>6</v>
      </c>
      <c r="E13" s="10">
        <v>1</v>
      </c>
      <c r="F13" s="10">
        <v>285636.86426498299</v>
      </c>
      <c r="G13" s="10">
        <v>4182.28</v>
      </c>
    </row>
    <row r="14" spans="1:7" x14ac:dyDescent="0.2">
      <c r="A14" s="10" t="s">
        <v>9</v>
      </c>
      <c r="B14" s="10" t="s">
        <v>289</v>
      </c>
      <c r="C14" s="10">
        <v>22</v>
      </c>
      <c r="D14" s="10">
        <v>7</v>
      </c>
      <c r="E14" s="10">
        <v>1</v>
      </c>
      <c r="F14" s="11" t="s">
        <v>15</v>
      </c>
      <c r="G14" s="10" t="s">
        <v>32</v>
      </c>
    </row>
    <row r="15" spans="1:7" x14ac:dyDescent="0.2">
      <c r="A15" s="10"/>
      <c r="B15" s="10"/>
      <c r="C15" s="10"/>
      <c r="D15" s="10"/>
      <c r="E15" s="10"/>
      <c r="F15" s="10"/>
      <c r="G15" s="10"/>
    </row>
    <row r="16" spans="1:7" x14ac:dyDescent="0.2">
      <c r="A16" s="10" t="s">
        <v>9</v>
      </c>
      <c r="B16" s="10" t="s">
        <v>289</v>
      </c>
      <c r="C16" s="10">
        <v>4</v>
      </c>
      <c r="D16" s="10">
        <v>2</v>
      </c>
      <c r="E16" s="10">
        <v>0.5</v>
      </c>
      <c r="F16" s="10">
        <v>67976.171444987602</v>
      </c>
      <c r="G16" s="10">
        <v>161.4</v>
      </c>
    </row>
    <row r="17" spans="1:7" x14ac:dyDescent="0.2">
      <c r="A17" s="10" t="s">
        <v>9</v>
      </c>
      <c r="B17" s="10" t="s">
        <v>289</v>
      </c>
      <c r="C17" s="10">
        <v>6</v>
      </c>
      <c r="D17" s="10">
        <v>2</v>
      </c>
      <c r="E17" s="10">
        <v>0.5</v>
      </c>
      <c r="F17" s="10">
        <v>105663.850200015</v>
      </c>
      <c r="G17" s="10">
        <v>2932.73</v>
      </c>
    </row>
    <row r="18" spans="1:7" x14ac:dyDescent="0.2">
      <c r="A18" s="10" t="s">
        <v>9</v>
      </c>
      <c r="B18" s="10" t="s">
        <v>289</v>
      </c>
      <c r="C18" s="10">
        <v>8</v>
      </c>
      <c r="D18" s="10">
        <v>3</v>
      </c>
      <c r="E18" s="10">
        <v>0.5</v>
      </c>
      <c r="F18" s="10">
        <v>162408.429524893</v>
      </c>
      <c r="G18" s="10">
        <v>3664.65</v>
      </c>
    </row>
    <row r="19" spans="1:7" x14ac:dyDescent="0.2">
      <c r="A19" s="10" t="s">
        <v>9</v>
      </c>
      <c r="B19" s="10" t="s">
        <v>289</v>
      </c>
      <c r="C19" s="10">
        <v>10</v>
      </c>
      <c r="D19" s="10">
        <v>3</v>
      </c>
      <c r="E19" s="10">
        <v>0.5</v>
      </c>
      <c r="F19" s="10">
        <v>193407.97375</v>
      </c>
      <c r="G19" s="10">
        <v>3695.09</v>
      </c>
    </row>
    <row r="20" spans="1:7" x14ac:dyDescent="0.2">
      <c r="A20" s="10" t="s">
        <v>9</v>
      </c>
      <c r="B20" s="10" t="s">
        <v>289</v>
      </c>
      <c r="C20" s="10">
        <v>12</v>
      </c>
      <c r="D20" s="10">
        <v>4</v>
      </c>
      <c r="E20" s="10">
        <v>0.5</v>
      </c>
      <c r="F20" s="11" t="s">
        <v>15</v>
      </c>
      <c r="G20" s="10" t="s">
        <v>32</v>
      </c>
    </row>
    <row r="21" spans="1:7" x14ac:dyDescent="0.2">
      <c r="A21" s="10" t="s">
        <v>9</v>
      </c>
      <c r="B21" s="10" t="s">
        <v>289</v>
      </c>
      <c r="C21" s="10">
        <v>14</v>
      </c>
      <c r="D21" s="10">
        <v>4</v>
      </c>
      <c r="E21" s="10">
        <v>0.5</v>
      </c>
      <c r="F21" s="11" t="s">
        <v>15</v>
      </c>
      <c r="G21" s="10" t="s">
        <v>32</v>
      </c>
    </row>
    <row r="22" spans="1:7" x14ac:dyDescent="0.2">
      <c r="A22" s="10" t="s">
        <v>9</v>
      </c>
      <c r="B22" s="10" t="s">
        <v>289</v>
      </c>
      <c r="C22" s="10">
        <v>16</v>
      </c>
      <c r="D22" s="10">
        <v>5</v>
      </c>
      <c r="E22" s="10">
        <v>0.5</v>
      </c>
      <c r="F22" s="11" t="s">
        <v>15</v>
      </c>
      <c r="G22" s="10" t="s">
        <v>32</v>
      </c>
    </row>
    <row r="23" spans="1:7" x14ac:dyDescent="0.2">
      <c r="A23" s="10" t="s">
        <v>9</v>
      </c>
      <c r="B23" s="10" t="s">
        <v>289</v>
      </c>
      <c r="C23" s="10">
        <v>18</v>
      </c>
      <c r="D23" s="10">
        <v>6</v>
      </c>
      <c r="E23" s="10">
        <v>0.5</v>
      </c>
      <c r="F23" s="11" t="s">
        <v>15</v>
      </c>
      <c r="G23" s="10" t="s">
        <v>32</v>
      </c>
    </row>
    <row r="24" spans="1:7" x14ac:dyDescent="0.2">
      <c r="A24" s="10" t="s">
        <v>9</v>
      </c>
      <c r="B24" s="10" t="s">
        <v>289</v>
      </c>
      <c r="C24" s="10">
        <v>20</v>
      </c>
      <c r="D24" s="10">
        <v>6</v>
      </c>
      <c r="E24" s="10">
        <v>0.5</v>
      </c>
      <c r="F24" s="11" t="s">
        <v>15</v>
      </c>
      <c r="G24" s="10" t="s">
        <v>32</v>
      </c>
    </row>
    <row r="25" spans="1:7" x14ac:dyDescent="0.2">
      <c r="A25" s="10" t="s">
        <v>9</v>
      </c>
      <c r="B25" s="10" t="s">
        <v>289</v>
      </c>
      <c r="C25" s="10">
        <v>22</v>
      </c>
      <c r="D25" s="10">
        <v>7</v>
      </c>
      <c r="E25" s="10">
        <v>0.5</v>
      </c>
      <c r="F25" s="11" t="s">
        <v>15</v>
      </c>
      <c r="G25" s="10" t="s">
        <v>32</v>
      </c>
    </row>
    <row r="26" spans="1:7" x14ac:dyDescent="0.2">
      <c r="A26" s="10"/>
      <c r="B26" s="10"/>
      <c r="C26" s="10"/>
      <c r="D26" s="10"/>
      <c r="E26" s="10"/>
      <c r="F26" s="11"/>
      <c r="G26" s="10"/>
    </row>
    <row r="27" spans="1:7" x14ac:dyDescent="0.2">
      <c r="A27" s="10" t="s">
        <v>9</v>
      </c>
      <c r="B27" s="10" t="s">
        <v>289</v>
      </c>
      <c r="C27" s="10">
        <v>4</v>
      </c>
      <c r="D27" s="10">
        <v>2</v>
      </c>
      <c r="E27" s="10">
        <v>0.3</v>
      </c>
      <c r="F27" s="10">
        <v>75890.497400002598</v>
      </c>
      <c r="G27" s="10">
        <v>229.14</v>
      </c>
    </row>
    <row r="28" spans="1:7" x14ac:dyDescent="0.2">
      <c r="A28" s="10" t="s">
        <v>9</v>
      </c>
      <c r="B28" s="10" t="s">
        <v>289</v>
      </c>
      <c r="C28" s="10">
        <v>6</v>
      </c>
      <c r="D28" s="10">
        <v>2</v>
      </c>
      <c r="E28" s="10">
        <v>0.3</v>
      </c>
      <c r="F28" s="10">
        <v>134370.704949999</v>
      </c>
      <c r="G28" s="10">
        <v>3629.96</v>
      </c>
    </row>
    <row r="29" spans="1:7" x14ac:dyDescent="0.2">
      <c r="A29" s="10" t="s">
        <v>9</v>
      </c>
      <c r="B29" s="10" t="s">
        <v>289</v>
      </c>
      <c r="C29" s="10">
        <v>8</v>
      </c>
      <c r="D29" s="10">
        <v>3</v>
      </c>
      <c r="E29" s="10">
        <v>0.3</v>
      </c>
      <c r="F29" s="10">
        <v>203433.52937499099</v>
      </c>
      <c r="G29" s="10">
        <v>3665.27</v>
      </c>
    </row>
    <row r="30" spans="1:7" x14ac:dyDescent="0.2">
      <c r="A30" s="10" t="s">
        <v>9</v>
      </c>
      <c r="B30" s="10" t="s">
        <v>289</v>
      </c>
      <c r="C30" s="10">
        <v>10</v>
      </c>
      <c r="D30" s="10" t="s">
        <v>25</v>
      </c>
      <c r="E30" s="10">
        <v>0.3</v>
      </c>
      <c r="F30" s="11" t="s">
        <v>15</v>
      </c>
      <c r="G30" s="10" t="s">
        <v>32</v>
      </c>
    </row>
    <row r="31" spans="1:7" x14ac:dyDescent="0.2">
      <c r="A31" s="10" t="s">
        <v>9</v>
      </c>
      <c r="B31" s="10" t="s">
        <v>289</v>
      </c>
      <c r="C31" s="10">
        <v>12</v>
      </c>
      <c r="D31" s="10">
        <v>4</v>
      </c>
      <c r="E31" s="10">
        <v>0.3</v>
      </c>
      <c r="F31" s="11" t="s">
        <v>15</v>
      </c>
      <c r="G31" s="10" t="s">
        <v>32</v>
      </c>
    </row>
    <row r="32" spans="1:7" x14ac:dyDescent="0.2">
      <c r="A32" s="10" t="s">
        <v>9</v>
      </c>
      <c r="B32" s="10" t="s">
        <v>289</v>
      </c>
      <c r="C32" s="10">
        <v>14</v>
      </c>
      <c r="D32" s="10" t="s">
        <v>26</v>
      </c>
      <c r="E32" s="10">
        <v>0.3</v>
      </c>
      <c r="F32" s="11" t="s">
        <v>15</v>
      </c>
      <c r="G32" s="10" t="s">
        <v>32</v>
      </c>
    </row>
    <row r="33" spans="1:7" x14ac:dyDescent="0.2">
      <c r="A33" s="10" t="s">
        <v>9</v>
      </c>
      <c r="B33" s="10" t="s">
        <v>289</v>
      </c>
      <c r="C33" s="10">
        <v>16</v>
      </c>
      <c r="D33" s="10">
        <v>5</v>
      </c>
      <c r="E33" s="10">
        <v>0.3</v>
      </c>
      <c r="F33" s="11" t="s">
        <v>15</v>
      </c>
      <c r="G33" s="10" t="s">
        <v>32</v>
      </c>
    </row>
    <row r="34" spans="1:7" x14ac:dyDescent="0.2">
      <c r="A34" s="10" t="s">
        <v>9</v>
      </c>
      <c r="B34" s="10" t="s">
        <v>289</v>
      </c>
      <c r="C34" s="10">
        <v>18</v>
      </c>
      <c r="D34" s="10">
        <v>6</v>
      </c>
      <c r="E34" s="10">
        <v>0.3</v>
      </c>
      <c r="F34" s="11" t="s">
        <v>15</v>
      </c>
      <c r="G34" s="10" t="s">
        <v>32</v>
      </c>
    </row>
    <row r="35" spans="1:7" x14ac:dyDescent="0.2">
      <c r="A35" s="10" t="s">
        <v>9</v>
      </c>
      <c r="B35" s="10" t="s">
        <v>289</v>
      </c>
      <c r="C35" s="10">
        <v>20</v>
      </c>
      <c r="D35" s="10" t="s">
        <v>27</v>
      </c>
      <c r="E35" s="10">
        <v>0.3</v>
      </c>
      <c r="F35" s="11" t="s">
        <v>15</v>
      </c>
      <c r="G35" s="10" t="s">
        <v>32</v>
      </c>
    </row>
    <row r="36" spans="1:7" x14ac:dyDescent="0.2">
      <c r="A36" s="10" t="s">
        <v>9</v>
      </c>
      <c r="B36" s="10" t="s">
        <v>289</v>
      </c>
      <c r="C36" s="10">
        <v>22</v>
      </c>
      <c r="D36" s="10">
        <v>7</v>
      </c>
      <c r="E36" s="10">
        <v>0.3</v>
      </c>
      <c r="F36" s="11" t="s">
        <v>15</v>
      </c>
      <c r="G36" s="10" t="s">
        <v>32</v>
      </c>
    </row>
    <row r="37" spans="1:7" x14ac:dyDescent="0.2">
      <c r="A37" s="10"/>
      <c r="B37" s="10"/>
      <c r="C37" s="10"/>
      <c r="D37" s="10"/>
      <c r="E37" s="10"/>
      <c r="F37" s="10"/>
      <c r="G37" s="10"/>
    </row>
    <row r="38" spans="1:7" x14ac:dyDescent="0.2">
      <c r="A38" s="10" t="s">
        <v>10</v>
      </c>
      <c r="B38" s="10" t="s">
        <v>289</v>
      </c>
      <c r="C38" s="10">
        <v>4</v>
      </c>
      <c r="D38" s="10">
        <v>1</v>
      </c>
      <c r="E38" s="10">
        <v>1</v>
      </c>
      <c r="F38" s="10">
        <v>49863.491999999998</v>
      </c>
      <c r="G38" s="10">
        <v>23.73</v>
      </c>
    </row>
    <row r="39" spans="1:7" x14ac:dyDescent="0.2">
      <c r="A39" s="10" t="s">
        <v>10</v>
      </c>
      <c r="B39" s="10" t="s">
        <v>289</v>
      </c>
      <c r="C39" s="10">
        <v>6</v>
      </c>
      <c r="D39" s="10">
        <v>2</v>
      </c>
      <c r="E39" s="10">
        <v>1</v>
      </c>
      <c r="F39" s="10">
        <v>90444.754678114594</v>
      </c>
      <c r="G39" s="10">
        <v>186.81</v>
      </c>
    </row>
    <row r="40" spans="1:7" x14ac:dyDescent="0.2">
      <c r="A40" s="10" t="s">
        <v>10</v>
      </c>
      <c r="B40" s="10" t="s">
        <v>289</v>
      </c>
      <c r="C40" s="10">
        <v>8</v>
      </c>
      <c r="D40" s="10">
        <v>3</v>
      </c>
      <c r="E40" s="10">
        <v>1</v>
      </c>
      <c r="F40" s="10">
        <v>114451.811999999</v>
      </c>
      <c r="G40" s="10">
        <v>210.77</v>
      </c>
    </row>
    <row r="41" spans="1:7" x14ac:dyDescent="0.2">
      <c r="A41" s="10" t="s">
        <v>10</v>
      </c>
      <c r="B41" s="10" t="s">
        <v>289</v>
      </c>
      <c r="C41" s="10">
        <v>10</v>
      </c>
      <c r="D41" s="10">
        <v>3</v>
      </c>
      <c r="E41" s="10">
        <v>1</v>
      </c>
      <c r="F41" s="10">
        <v>142408.72438350701</v>
      </c>
      <c r="G41" s="10">
        <v>3697.67</v>
      </c>
    </row>
    <row r="42" spans="1:7" x14ac:dyDescent="0.2">
      <c r="A42" s="10" t="s">
        <v>10</v>
      </c>
      <c r="B42" s="10" t="s">
        <v>289</v>
      </c>
      <c r="C42" s="10">
        <v>12</v>
      </c>
      <c r="D42" s="10">
        <v>4</v>
      </c>
      <c r="E42" s="10">
        <v>1</v>
      </c>
      <c r="F42" s="10">
        <v>168646.34375563599</v>
      </c>
      <c r="G42" s="10">
        <v>3756.33</v>
      </c>
    </row>
    <row r="43" spans="1:7" x14ac:dyDescent="0.2">
      <c r="A43" s="10" t="s">
        <v>10</v>
      </c>
      <c r="B43" s="10" t="s">
        <v>289</v>
      </c>
      <c r="C43" s="10">
        <v>14</v>
      </c>
      <c r="D43" s="10">
        <v>4</v>
      </c>
      <c r="E43" s="10">
        <v>1</v>
      </c>
      <c r="F43" s="10">
        <v>183776.27853184901</v>
      </c>
      <c r="G43" s="10">
        <v>3797.29</v>
      </c>
    </row>
    <row r="44" spans="1:7" x14ac:dyDescent="0.2">
      <c r="A44" s="10" t="s">
        <v>10</v>
      </c>
      <c r="B44" s="10" t="s">
        <v>289</v>
      </c>
      <c r="C44" s="10">
        <v>16</v>
      </c>
      <c r="D44" s="10">
        <v>5</v>
      </c>
      <c r="E44" s="10">
        <v>1</v>
      </c>
      <c r="F44" s="10">
        <v>221993.07545613</v>
      </c>
      <c r="G44" s="10">
        <v>3929.93</v>
      </c>
    </row>
    <row r="45" spans="1:7" x14ac:dyDescent="0.2">
      <c r="A45" s="10" t="s">
        <v>10</v>
      </c>
      <c r="B45" s="10" t="s">
        <v>289</v>
      </c>
      <c r="C45" s="10">
        <v>18</v>
      </c>
      <c r="D45" s="10">
        <v>6</v>
      </c>
      <c r="E45" s="10">
        <v>1</v>
      </c>
      <c r="F45" s="10">
        <v>267012.01133645</v>
      </c>
      <c r="G45" s="10">
        <v>4075.54</v>
      </c>
    </row>
    <row r="46" spans="1:7" x14ac:dyDescent="0.2">
      <c r="A46" s="10" t="s">
        <v>10</v>
      </c>
      <c r="B46" s="10" t="s">
        <v>289</v>
      </c>
      <c r="C46" s="10">
        <v>20</v>
      </c>
      <c r="D46" s="10">
        <v>6</v>
      </c>
      <c r="E46" s="10">
        <v>1</v>
      </c>
      <c r="F46" s="10">
        <v>302979.29908499698</v>
      </c>
      <c r="G46" s="10">
        <v>4184.96</v>
      </c>
    </row>
    <row r="47" spans="1:7" x14ac:dyDescent="0.2">
      <c r="A47" s="10" t="s">
        <v>10</v>
      </c>
      <c r="B47" s="10" t="s">
        <v>289</v>
      </c>
      <c r="C47" s="10">
        <v>22</v>
      </c>
      <c r="D47" s="10">
        <v>7</v>
      </c>
      <c r="E47" s="10">
        <v>1</v>
      </c>
      <c r="F47" s="11" t="s">
        <v>15</v>
      </c>
      <c r="G47" s="10" t="s">
        <v>32</v>
      </c>
    </row>
    <row r="48" spans="1:7" x14ac:dyDescent="0.2">
      <c r="A48" s="10"/>
      <c r="B48" s="10"/>
      <c r="C48" s="10"/>
      <c r="D48" s="10"/>
      <c r="E48" s="10"/>
      <c r="F48" s="11"/>
      <c r="G48" s="10"/>
    </row>
    <row r="49" spans="1:7" x14ac:dyDescent="0.2">
      <c r="A49" s="10" t="s">
        <v>10</v>
      </c>
      <c r="B49" s="10" t="s">
        <v>289</v>
      </c>
      <c r="C49" s="10">
        <v>4</v>
      </c>
      <c r="D49" s="10">
        <v>1</v>
      </c>
      <c r="E49" s="10">
        <v>0.5</v>
      </c>
      <c r="F49" s="10">
        <v>64370.666749999997</v>
      </c>
      <c r="G49" s="10">
        <v>45.38</v>
      </c>
    </row>
    <row r="50" spans="1:7" x14ac:dyDescent="0.2">
      <c r="A50" s="10" t="s">
        <v>10</v>
      </c>
      <c r="B50" s="10" t="s">
        <v>289</v>
      </c>
      <c r="C50" s="10">
        <v>6</v>
      </c>
      <c r="D50" s="10">
        <v>2</v>
      </c>
      <c r="E50" s="10">
        <v>0.5</v>
      </c>
      <c r="F50" s="10">
        <v>118922.131925223</v>
      </c>
      <c r="G50" s="10">
        <v>2995.84</v>
      </c>
    </row>
    <row r="51" spans="1:7" x14ac:dyDescent="0.2">
      <c r="A51" s="10" t="s">
        <v>10</v>
      </c>
      <c r="B51" s="10" t="s">
        <v>289</v>
      </c>
      <c r="C51" s="10">
        <v>8</v>
      </c>
      <c r="D51" s="10">
        <v>3</v>
      </c>
      <c r="E51" s="10">
        <v>0.5</v>
      </c>
      <c r="F51" s="10">
        <v>189389.51324999501</v>
      </c>
      <c r="G51" s="10">
        <v>3642.84</v>
      </c>
    </row>
    <row r="52" spans="1:7" x14ac:dyDescent="0.2">
      <c r="A52" s="10" t="s">
        <v>10</v>
      </c>
      <c r="B52" s="10" t="s">
        <v>289</v>
      </c>
      <c r="C52" s="10">
        <v>10</v>
      </c>
      <c r="D52" s="10">
        <v>3</v>
      </c>
      <c r="E52" s="10">
        <v>0.5</v>
      </c>
      <c r="F52" s="10">
        <v>199127.461500003</v>
      </c>
      <c r="G52" s="10">
        <v>3698.57</v>
      </c>
    </row>
    <row r="53" spans="1:7" x14ac:dyDescent="0.2">
      <c r="A53" s="10" t="s">
        <v>10</v>
      </c>
      <c r="B53" s="10" t="s">
        <v>289</v>
      </c>
      <c r="C53" s="10">
        <v>12</v>
      </c>
      <c r="D53" s="10">
        <v>4</v>
      </c>
      <c r="E53" s="10">
        <v>0.5</v>
      </c>
      <c r="F53" s="11" t="s">
        <v>15</v>
      </c>
      <c r="G53" s="10" t="s">
        <v>32</v>
      </c>
    </row>
    <row r="54" spans="1:7" x14ac:dyDescent="0.2">
      <c r="A54" s="10" t="s">
        <v>10</v>
      </c>
      <c r="B54" s="10" t="s">
        <v>289</v>
      </c>
      <c r="C54" s="10">
        <v>14</v>
      </c>
      <c r="D54" s="10">
        <v>4</v>
      </c>
      <c r="E54" s="10">
        <v>0.5</v>
      </c>
      <c r="F54" s="11" t="s">
        <v>15</v>
      </c>
      <c r="G54" s="10" t="s">
        <v>32</v>
      </c>
    </row>
    <row r="55" spans="1:7" x14ac:dyDescent="0.2">
      <c r="A55" s="10" t="s">
        <v>10</v>
      </c>
      <c r="B55" s="10" t="s">
        <v>289</v>
      </c>
      <c r="C55" s="10">
        <v>16</v>
      </c>
      <c r="D55" s="10">
        <v>5</v>
      </c>
      <c r="E55" s="10">
        <v>0.5</v>
      </c>
      <c r="F55" s="11" t="s">
        <v>15</v>
      </c>
      <c r="G55" s="10" t="s">
        <v>32</v>
      </c>
    </row>
    <row r="56" spans="1:7" x14ac:dyDescent="0.2">
      <c r="A56" s="10" t="s">
        <v>10</v>
      </c>
      <c r="B56" s="10" t="s">
        <v>289</v>
      </c>
      <c r="C56" s="10">
        <v>18</v>
      </c>
      <c r="D56" s="10">
        <v>6</v>
      </c>
      <c r="E56" s="10">
        <v>0.5</v>
      </c>
      <c r="F56" s="11" t="s">
        <v>15</v>
      </c>
      <c r="G56" s="10" t="s">
        <v>32</v>
      </c>
    </row>
    <row r="57" spans="1:7" x14ac:dyDescent="0.2">
      <c r="A57" s="10" t="s">
        <v>10</v>
      </c>
      <c r="B57" s="10" t="s">
        <v>289</v>
      </c>
      <c r="C57" s="10">
        <v>20</v>
      </c>
      <c r="D57" s="10">
        <v>6</v>
      </c>
      <c r="E57" s="10">
        <v>0.5</v>
      </c>
      <c r="F57" s="11" t="s">
        <v>15</v>
      </c>
      <c r="G57" s="10" t="s">
        <v>32</v>
      </c>
    </row>
    <row r="58" spans="1:7" x14ac:dyDescent="0.2">
      <c r="A58" s="10" t="s">
        <v>10</v>
      </c>
      <c r="B58" s="10" t="s">
        <v>289</v>
      </c>
      <c r="C58" s="10">
        <v>22</v>
      </c>
      <c r="D58" s="10">
        <v>7</v>
      </c>
      <c r="E58" s="10">
        <v>0.5</v>
      </c>
      <c r="F58" s="11" t="s">
        <v>15</v>
      </c>
      <c r="G58" s="10" t="s">
        <v>32</v>
      </c>
    </row>
    <row r="59" spans="1:7" x14ac:dyDescent="0.2">
      <c r="A59" s="10"/>
      <c r="B59" s="10"/>
      <c r="C59" s="10"/>
      <c r="D59" s="10"/>
      <c r="E59" s="10"/>
      <c r="F59" s="10"/>
      <c r="G59" s="10"/>
    </row>
    <row r="60" spans="1:7" x14ac:dyDescent="0.2">
      <c r="A60" s="10" t="s">
        <v>10</v>
      </c>
      <c r="B60" s="10" t="s">
        <v>289</v>
      </c>
      <c r="C60" s="10">
        <v>4</v>
      </c>
      <c r="D60" s="10">
        <v>1</v>
      </c>
      <c r="E60" s="10">
        <v>0.3</v>
      </c>
      <c r="F60" s="11" t="s">
        <v>15</v>
      </c>
      <c r="G60" s="10" t="s">
        <v>32</v>
      </c>
    </row>
    <row r="61" spans="1:7" x14ac:dyDescent="0.2">
      <c r="A61" s="10" t="s">
        <v>10</v>
      </c>
      <c r="B61" s="10" t="s">
        <v>289</v>
      </c>
      <c r="C61" s="10">
        <v>6</v>
      </c>
      <c r="D61" s="10" t="s">
        <v>28</v>
      </c>
      <c r="E61" s="10">
        <v>0.3</v>
      </c>
      <c r="F61" s="11" t="s">
        <v>15</v>
      </c>
      <c r="G61" s="10" t="s">
        <v>32</v>
      </c>
    </row>
    <row r="62" spans="1:7" x14ac:dyDescent="0.2">
      <c r="A62" s="10" t="s">
        <v>10</v>
      </c>
      <c r="B62" s="10" t="s">
        <v>289</v>
      </c>
      <c r="C62" s="10">
        <v>8</v>
      </c>
      <c r="D62" s="10">
        <v>3</v>
      </c>
      <c r="E62" s="10">
        <v>0.3</v>
      </c>
      <c r="F62" s="11" t="s">
        <v>15</v>
      </c>
      <c r="G62" s="10" t="s">
        <v>32</v>
      </c>
    </row>
    <row r="63" spans="1:7" x14ac:dyDescent="0.2">
      <c r="A63" s="10" t="s">
        <v>10</v>
      </c>
      <c r="B63" s="10" t="s">
        <v>289</v>
      </c>
      <c r="C63" s="10">
        <v>10</v>
      </c>
      <c r="D63" s="10" t="s">
        <v>25</v>
      </c>
      <c r="E63" s="10">
        <v>0.3</v>
      </c>
      <c r="F63" s="11" t="s">
        <v>15</v>
      </c>
      <c r="G63" s="10" t="s">
        <v>32</v>
      </c>
    </row>
    <row r="64" spans="1:7" x14ac:dyDescent="0.2">
      <c r="A64" s="10" t="s">
        <v>10</v>
      </c>
      <c r="B64" s="10" t="s">
        <v>289</v>
      </c>
      <c r="C64" s="10">
        <v>12</v>
      </c>
      <c r="D64" s="10" t="s">
        <v>26</v>
      </c>
      <c r="E64" s="10">
        <v>0.3</v>
      </c>
      <c r="F64" s="11" t="s">
        <v>15</v>
      </c>
      <c r="G64" s="10" t="s">
        <v>32</v>
      </c>
    </row>
    <row r="65" spans="1:7" x14ac:dyDescent="0.2">
      <c r="A65" s="10" t="s">
        <v>10</v>
      </c>
      <c r="B65" s="10" t="s">
        <v>289</v>
      </c>
      <c r="C65" s="10">
        <v>14</v>
      </c>
      <c r="D65" s="10" t="s">
        <v>26</v>
      </c>
      <c r="E65" s="10">
        <v>0.3</v>
      </c>
      <c r="F65" s="11" t="s">
        <v>15</v>
      </c>
      <c r="G65" s="10" t="s">
        <v>32</v>
      </c>
    </row>
    <row r="66" spans="1:7" x14ac:dyDescent="0.2">
      <c r="A66" s="10" t="s">
        <v>10</v>
      </c>
      <c r="B66" s="10" t="s">
        <v>289</v>
      </c>
      <c r="C66" s="10">
        <v>16</v>
      </c>
      <c r="D66" s="10">
        <v>5</v>
      </c>
      <c r="E66" s="10">
        <v>0.3</v>
      </c>
      <c r="F66" s="11" t="s">
        <v>15</v>
      </c>
      <c r="G66" s="10" t="s">
        <v>32</v>
      </c>
    </row>
    <row r="67" spans="1:7" x14ac:dyDescent="0.2">
      <c r="A67" s="10" t="s">
        <v>10</v>
      </c>
      <c r="B67" s="10" t="s">
        <v>289</v>
      </c>
      <c r="C67" s="10">
        <v>18</v>
      </c>
      <c r="D67" s="10">
        <v>6</v>
      </c>
      <c r="E67" s="10">
        <v>0.3</v>
      </c>
      <c r="F67" s="11" t="s">
        <v>15</v>
      </c>
      <c r="G67" s="10" t="s">
        <v>32</v>
      </c>
    </row>
    <row r="68" spans="1:7" x14ac:dyDescent="0.2">
      <c r="A68" s="10" t="s">
        <v>10</v>
      </c>
      <c r="B68" s="10" t="s">
        <v>289</v>
      </c>
      <c r="C68" s="10">
        <v>20</v>
      </c>
      <c r="D68" s="10" t="s">
        <v>27</v>
      </c>
      <c r="E68" s="10">
        <v>0.3</v>
      </c>
      <c r="F68" s="11" t="s">
        <v>15</v>
      </c>
      <c r="G68" s="10" t="s">
        <v>32</v>
      </c>
    </row>
    <row r="69" spans="1:7" x14ac:dyDescent="0.2">
      <c r="A69" s="10" t="s">
        <v>10</v>
      </c>
      <c r="B69" s="10" t="s">
        <v>289</v>
      </c>
      <c r="C69" s="10">
        <v>22</v>
      </c>
      <c r="D69" s="10">
        <v>7</v>
      </c>
      <c r="E69" s="10">
        <v>0.3</v>
      </c>
      <c r="F69" s="11" t="s">
        <v>15</v>
      </c>
      <c r="G69" s="10" t="s">
        <v>32</v>
      </c>
    </row>
    <row r="70" spans="1:7" x14ac:dyDescent="0.2">
      <c r="A70" s="10"/>
      <c r="B70" s="10"/>
      <c r="C70" s="10"/>
      <c r="D70" s="10"/>
      <c r="E70" s="10"/>
      <c r="F70" s="11"/>
      <c r="G70" s="11"/>
    </row>
    <row r="71" spans="1:7" x14ac:dyDescent="0.2">
      <c r="A71" s="10" t="s">
        <v>11</v>
      </c>
      <c r="B71" s="10" t="s">
        <v>289</v>
      </c>
      <c r="C71" s="10">
        <v>4</v>
      </c>
      <c r="D71" s="10">
        <v>1</v>
      </c>
      <c r="E71" s="10">
        <v>1</v>
      </c>
      <c r="F71" s="10">
        <v>48507.24</v>
      </c>
      <c r="G71" s="10">
        <v>19.059999999999999</v>
      </c>
    </row>
    <row r="72" spans="1:7" x14ac:dyDescent="0.2">
      <c r="A72" s="10" t="s">
        <v>11</v>
      </c>
      <c r="B72" s="10" t="s">
        <v>289</v>
      </c>
      <c r="C72" s="10">
        <v>6</v>
      </c>
      <c r="D72" s="10">
        <v>2</v>
      </c>
      <c r="E72" s="10">
        <v>1</v>
      </c>
      <c r="F72" s="10">
        <v>77262.305828395794</v>
      </c>
      <c r="G72" s="10">
        <v>233.76</v>
      </c>
    </row>
    <row r="73" spans="1:7" x14ac:dyDescent="0.2">
      <c r="A73" s="10" t="s">
        <v>11</v>
      </c>
      <c r="B73" s="10" t="s">
        <v>289</v>
      </c>
      <c r="C73" s="10">
        <v>8</v>
      </c>
      <c r="D73" s="10">
        <v>3</v>
      </c>
      <c r="E73" s="10">
        <v>1</v>
      </c>
      <c r="F73" s="10">
        <v>113592.250374633</v>
      </c>
      <c r="G73" s="10">
        <v>2746.63</v>
      </c>
    </row>
    <row r="74" spans="1:7" x14ac:dyDescent="0.2">
      <c r="A74" s="10" t="s">
        <v>11</v>
      </c>
      <c r="B74" s="10" t="s">
        <v>289</v>
      </c>
      <c r="C74" s="10">
        <v>10</v>
      </c>
      <c r="D74" s="10">
        <v>3</v>
      </c>
      <c r="E74" s="10">
        <v>1</v>
      </c>
      <c r="F74" s="10">
        <v>139754.912594728</v>
      </c>
      <c r="G74" s="10">
        <v>3699.51</v>
      </c>
    </row>
    <row r="75" spans="1:7" x14ac:dyDescent="0.2">
      <c r="A75" s="10" t="s">
        <v>11</v>
      </c>
      <c r="B75" s="10" t="s">
        <v>289</v>
      </c>
      <c r="C75" s="10">
        <v>12</v>
      </c>
      <c r="D75" s="10">
        <v>4</v>
      </c>
      <c r="E75" s="10">
        <v>1</v>
      </c>
      <c r="F75" s="10">
        <v>162792.08845308301</v>
      </c>
      <c r="G75" s="10">
        <v>3748.38</v>
      </c>
    </row>
    <row r="76" spans="1:7" x14ac:dyDescent="0.2">
      <c r="A76" s="10" t="s">
        <v>11</v>
      </c>
      <c r="B76" s="10" t="s">
        <v>289</v>
      </c>
      <c r="C76" s="10">
        <v>14</v>
      </c>
      <c r="D76" s="10">
        <v>4</v>
      </c>
      <c r="E76" s="10">
        <v>1</v>
      </c>
      <c r="F76" s="10">
        <v>176500.54782913</v>
      </c>
      <c r="G76" s="10">
        <v>3809.29</v>
      </c>
    </row>
    <row r="77" spans="1:7" x14ac:dyDescent="0.2">
      <c r="A77" s="10" t="s">
        <v>11</v>
      </c>
      <c r="B77" s="10" t="s">
        <v>289</v>
      </c>
      <c r="C77" s="10">
        <v>16</v>
      </c>
      <c r="D77" s="10">
        <v>5</v>
      </c>
      <c r="E77" s="10">
        <v>1</v>
      </c>
      <c r="F77" s="10">
        <v>214572.647822656</v>
      </c>
      <c r="G77" s="10">
        <v>3941.51</v>
      </c>
    </row>
    <row r="78" spans="1:7" x14ac:dyDescent="0.2">
      <c r="A78" s="10" t="s">
        <v>11</v>
      </c>
      <c r="B78" s="10" t="s">
        <v>289</v>
      </c>
      <c r="C78" s="10">
        <v>18</v>
      </c>
      <c r="D78" s="10">
        <v>5</v>
      </c>
      <c r="E78" s="10">
        <v>1</v>
      </c>
      <c r="F78" s="10">
        <v>251565.047820281</v>
      </c>
      <c r="G78" s="10">
        <v>4032.86</v>
      </c>
    </row>
    <row r="79" spans="1:7" x14ac:dyDescent="0.2">
      <c r="A79" s="10" t="s">
        <v>11</v>
      </c>
      <c r="B79" s="10" t="s">
        <v>289</v>
      </c>
      <c r="C79" s="10">
        <v>20</v>
      </c>
      <c r="D79" s="10">
        <v>6</v>
      </c>
      <c r="E79" s="10">
        <v>1</v>
      </c>
      <c r="F79" s="10">
        <v>284990.5</v>
      </c>
      <c r="G79" s="10">
        <v>4177.87</v>
      </c>
    </row>
    <row r="80" spans="1:7" x14ac:dyDescent="0.2">
      <c r="A80" s="10" t="s">
        <v>11</v>
      </c>
      <c r="B80" s="10" t="s">
        <v>289</v>
      </c>
      <c r="C80" s="10">
        <v>22</v>
      </c>
      <c r="D80" s="10">
        <v>7</v>
      </c>
      <c r="E80" s="10">
        <v>1</v>
      </c>
      <c r="F80" s="11" t="s">
        <v>15</v>
      </c>
      <c r="G80" s="10" t="s">
        <v>32</v>
      </c>
    </row>
    <row r="81" spans="1:7" x14ac:dyDescent="0.2">
      <c r="A81" s="10"/>
      <c r="B81" s="10"/>
      <c r="C81" s="10"/>
      <c r="D81" s="10"/>
      <c r="E81" s="10"/>
      <c r="F81" s="10"/>
      <c r="G81" s="10"/>
    </row>
    <row r="82" spans="1:7" x14ac:dyDescent="0.2">
      <c r="A82" s="10" t="s">
        <v>11</v>
      </c>
      <c r="B82" s="10" t="s">
        <v>289</v>
      </c>
      <c r="C82" s="10">
        <v>4</v>
      </c>
      <c r="D82" s="10">
        <v>1</v>
      </c>
      <c r="E82" s="10">
        <v>0.5</v>
      </c>
      <c r="F82" s="10">
        <v>61871.4119990033</v>
      </c>
      <c r="G82" s="10">
        <v>23.69</v>
      </c>
    </row>
    <row r="83" spans="1:7" x14ac:dyDescent="0.2">
      <c r="A83" s="10" t="s">
        <v>11</v>
      </c>
      <c r="B83" s="10" t="s">
        <v>289</v>
      </c>
      <c r="C83" s="10">
        <v>6</v>
      </c>
      <c r="D83" s="10">
        <v>2</v>
      </c>
      <c r="E83" s="10">
        <v>0.5</v>
      </c>
      <c r="F83" s="10">
        <v>112117.080100812</v>
      </c>
      <c r="G83" s="10">
        <v>3625.04</v>
      </c>
    </row>
    <row r="84" spans="1:7" x14ac:dyDescent="0.2">
      <c r="A84" s="10" t="s">
        <v>11</v>
      </c>
      <c r="B84" s="10" t="s">
        <v>289</v>
      </c>
      <c r="C84" s="10">
        <v>8</v>
      </c>
      <c r="D84" s="10">
        <v>3</v>
      </c>
      <c r="E84" s="10">
        <v>0.5</v>
      </c>
      <c r="F84" s="10">
        <v>181619.020877673</v>
      </c>
      <c r="G84" s="10">
        <v>3659.61</v>
      </c>
    </row>
    <row r="85" spans="1:7" x14ac:dyDescent="0.2">
      <c r="A85" s="10" t="s">
        <v>11</v>
      </c>
      <c r="B85" s="10" t="s">
        <v>289</v>
      </c>
      <c r="C85" s="10">
        <v>10</v>
      </c>
      <c r="D85" s="10">
        <v>3</v>
      </c>
      <c r="E85" s="10">
        <v>0.5</v>
      </c>
      <c r="F85" s="10">
        <v>214700.424694999</v>
      </c>
      <c r="G85" s="10">
        <v>3698.23</v>
      </c>
    </row>
    <row r="86" spans="1:7" x14ac:dyDescent="0.2">
      <c r="A86" s="10" t="s">
        <v>11</v>
      </c>
      <c r="B86" s="10" t="s">
        <v>289</v>
      </c>
      <c r="C86" s="10">
        <v>12</v>
      </c>
      <c r="D86" s="10">
        <v>4</v>
      </c>
      <c r="E86" s="10">
        <v>0.5</v>
      </c>
      <c r="F86" s="11" t="s">
        <v>15</v>
      </c>
      <c r="G86" s="10" t="s">
        <v>32</v>
      </c>
    </row>
    <row r="87" spans="1:7" x14ac:dyDescent="0.2">
      <c r="A87" s="10" t="s">
        <v>11</v>
      </c>
      <c r="B87" s="10" t="s">
        <v>289</v>
      </c>
      <c r="C87" s="10">
        <v>14</v>
      </c>
      <c r="D87" s="10">
        <v>4</v>
      </c>
      <c r="E87" s="10">
        <v>0.5</v>
      </c>
      <c r="F87" s="11" t="s">
        <v>15</v>
      </c>
      <c r="G87" s="10" t="s">
        <v>32</v>
      </c>
    </row>
    <row r="88" spans="1:7" x14ac:dyDescent="0.2">
      <c r="A88" s="10" t="s">
        <v>11</v>
      </c>
      <c r="B88" s="10" t="s">
        <v>289</v>
      </c>
      <c r="C88" s="10">
        <v>16</v>
      </c>
      <c r="D88" s="10">
        <v>5</v>
      </c>
      <c r="E88" s="10">
        <v>0.5</v>
      </c>
      <c r="F88" s="11" t="s">
        <v>15</v>
      </c>
      <c r="G88" s="10" t="s">
        <v>32</v>
      </c>
    </row>
    <row r="89" spans="1:7" x14ac:dyDescent="0.2">
      <c r="A89" s="10" t="s">
        <v>11</v>
      </c>
      <c r="B89" s="10" t="s">
        <v>289</v>
      </c>
      <c r="C89" s="10">
        <v>18</v>
      </c>
      <c r="D89" s="10">
        <v>5</v>
      </c>
      <c r="E89" s="10">
        <v>0.5</v>
      </c>
      <c r="F89" s="11" t="s">
        <v>15</v>
      </c>
      <c r="G89" s="10" t="s">
        <v>32</v>
      </c>
    </row>
    <row r="90" spans="1:7" x14ac:dyDescent="0.2">
      <c r="A90" s="10" t="s">
        <v>11</v>
      </c>
      <c r="B90" s="10" t="s">
        <v>289</v>
      </c>
      <c r="C90" s="10">
        <v>20</v>
      </c>
      <c r="D90" s="10">
        <v>6</v>
      </c>
      <c r="E90" s="10">
        <v>0.5</v>
      </c>
      <c r="F90" s="11" t="s">
        <v>15</v>
      </c>
      <c r="G90" s="10" t="s">
        <v>32</v>
      </c>
    </row>
    <row r="91" spans="1:7" x14ac:dyDescent="0.2">
      <c r="A91" s="10" t="s">
        <v>11</v>
      </c>
      <c r="B91" s="10" t="s">
        <v>289</v>
      </c>
      <c r="C91" s="10">
        <v>22</v>
      </c>
      <c r="D91" s="10">
        <v>7</v>
      </c>
      <c r="E91" s="10">
        <v>0.5</v>
      </c>
      <c r="F91" s="11" t="s">
        <v>15</v>
      </c>
      <c r="G91" s="10" t="s">
        <v>32</v>
      </c>
    </row>
    <row r="92" spans="1:7" x14ac:dyDescent="0.2">
      <c r="A92" s="10"/>
      <c r="B92" s="10"/>
      <c r="C92" s="10"/>
      <c r="D92" s="10"/>
      <c r="E92" s="10"/>
      <c r="F92" s="10"/>
      <c r="G92" s="10"/>
    </row>
    <row r="93" spans="1:7" x14ac:dyDescent="0.2">
      <c r="A93" s="10" t="s">
        <v>11</v>
      </c>
      <c r="B93" s="10" t="s">
        <v>289</v>
      </c>
      <c r="C93" s="10">
        <v>4</v>
      </c>
      <c r="D93" s="10">
        <v>1</v>
      </c>
      <c r="E93" s="10">
        <v>0.3</v>
      </c>
      <c r="F93" s="11" t="s">
        <v>15</v>
      </c>
      <c r="G93" s="10" t="s">
        <v>32</v>
      </c>
    </row>
    <row r="94" spans="1:7" x14ac:dyDescent="0.2">
      <c r="A94" s="10" t="s">
        <v>11</v>
      </c>
      <c r="B94" s="10" t="s">
        <v>289</v>
      </c>
      <c r="C94" s="10">
        <v>6</v>
      </c>
      <c r="D94" s="10">
        <v>2</v>
      </c>
      <c r="E94" s="10">
        <v>0.3</v>
      </c>
      <c r="F94" s="10">
        <v>137015.33397936201</v>
      </c>
      <c r="G94" s="10">
        <v>2789.26</v>
      </c>
    </row>
    <row r="95" spans="1:7" x14ac:dyDescent="0.2">
      <c r="A95" s="10" t="s">
        <v>11</v>
      </c>
      <c r="B95" s="10" t="s">
        <v>289</v>
      </c>
      <c r="C95" s="10">
        <v>8</v>
      </c>
      <c r="D95" s="10">
        <v>3</v>
      </c>
      <c r="E95" s="10">
        <v>0.3</v>
      </c>
      <c r="F95" s="11" t="s">
        <v>15</v>
      </c>
      <c r="G95" s="10" t="s">
        <v>32</v>
      </c>
    </row>
    <row r="96" spans="1:7" x14ac:dyDescent="0.2">
      <c r="A96" s="10" t="s">
        <v>11</v>
      </c>
      <c r="B96" s="10" t="s">
        <v>289</v>
      </c>
      <c r="C96" s="10">
        <v>10</v>
      </c>
      <c r="D96" s="10" t="s">
        <v>25</v>
      </c>
      <c r="E96" s="10">
        <v>0.3</v>
      </c>
      <c r="F96" s="11" t="s">
        <v>15</v>
      </c>
      <c r="G96" s="10" t="s">
        <v>32</v>
      </c>
    </row>
    <row r="97" spans="1:7" x14ac:dyDescent="0.2">
      <c r="A97" s="10" t="s">
        <v>11</v>
      </c>
      <c r="B97" s="10" t="s">
        <v>289</v>
      </c>
      <c r="C97" s="10">
        <v>12</v>
      </c>
      <c r="D97" s="10">
        <v>4</v>
      </c>
      <c r="E97" s="10">
        <v>0.3</v>
      </c>
      <c r="F97" s="11" t="s">
        <v>15</v>
      </c>
      <c r="G97" s="10" t="s">
        <v>32</v>
      </c>
    </row>
    <row r="98" spans="1:7" x14ac:dyDescent="0.2">
      <c r="A98" s="10" t="s">
        <v>11</v>
      </c>
      <c r="B98" s="10" t="s">
        <v>289</v>
      </c>
      <c r="C98" s="10">
        <v>14</v>
      </c>
      <c r="D98" s="10" t="s">
        <v>26</v>
      </c>
      <c r="E98" s="10">
        <v>0.3</v>
      </c>
      <c r="F98" s="11" t="s">
        <v>15</v>
      </c>
      <c r="G98" s="10" t="s">
        <v>32</v>
      </c>
    </row>
    <row r="99" spans="1:7" x14ac:dyDescent="0.2">
      <c r="A99" s="10" t="s">
        <v>11</v>
      </c>
      <c r="B99" s="10" t="s">
        <v>289</v>
      </c>
      <c r="C99" s="10">
        <v>16</v>
      </c>
      <c r="D99" s="10">
        <v>5</v>
      </c>
      <c r="E99" s="10">
        <v>0.3</v>
      </c>
      <c r="F99" s="11" t="s">
        <v>15</v>
      </c>
      <c r="G99" s="10" t="s">
        <v>32</v>
      </c>
    </row>
    <row r="100" spans="1:7" x14ac:dyDescent="0.2">
      <c r="A100" s="10" t="s">
        <v>11</v>
      </c>
      <c r="B100" s="10" t="s">
        <v>289</v>
      </c>
      <c r="C100" s="10">
        <v>18</v>
      </c>
      <c r="D100" s="10" t="s">
        <v>29</v>
      </c>
      <c r="E100" s="10">
        <v>0.3</v>
      </c>
      <c r="F100" s="11" t="s">
        <v>15</v>
      </c>
      <c r="G100" s="10" t="s">
        <v>32</v>
      </c>
    </row>
    <row r="101" spans="1:7" x14ac:dyDescent="0.2">
      <c r="A101" s="10" t="s">
        <v>11</v>
      </c>
      <c r="B101" s="10" t="s">
        <v>289</v>
      </c>
      <c r="C101" s="10">
        <v>20</v>
      </c>
      <c r="D101" s="10" t="s">
        <v>27</v>
      </c>
      <c r="E101" s="10">
        <v>0.3</v>
      </c>
      <c r="F101" s="11" t="s">
        <v>15</v>
      </c>
      <c r="G101" s="10" t="s">
        <v>32</v>
      </c>
    </row>
    <row r="102" spans="1:7" x14ac:dyDescent="0.2">
      <c r="A102" s="10" t="s">
        <v>11</v>
      </c>
      <c r="B102" s="10" t="s">
        <v>289</v>
      </c>
      <c r="C102" s="10">
        <v>22</v>
      </c>
      <c r="D102" s="10">
        <v>7</v>
      </c>
      <c r="E102" s="10">
        <v>0.3</v>
      </c>
      <c r="F102" s="11" t="s">
        <v>15</v>
      </c>
      <c r="G102" s="10" t="s">
        <v>32</v>
      </c>
    </row>
    <row r="103" spans="1:7" x14ac:dyDescent="0.2">
      <c r="A103" s="10"/>
      <c r="B103" s="10"/>
      <c r="C103" s="10"/>
      <c r="D103" s="10"/>
      <c r="E103" s="10"/>
      <c r="F103" s="11"/>
      <c r="G103" s="11"/>
    </row>
    <row r="104" spans="1:7" x14ac:dyDescent="0.2">
      <c r="A104" s="10" t="s">
        <v>12</v>
      </c>
      <c r="B104" s="10" t="s">
        <v>289</v>
      </c>
      <c r="C104" s="10">
        <v>4</v>
      </c>
      <c r="D104" s="10">
        <v>2</v>
      </c>
      <c r="E104" s="10">
        <v>1</v>
      </c>
      <c r="F104" s="10">
        <v>68270.771999999997</v>
      </c>
      <c r="G104" s="10">
        <v>136.31</v>
      </c>
    </row>
    <row r="105" spans="1:7" x14ac:dyDescent="0.2">
      <c r="A105" s="10" t="s">
        <v>12</v>
      </c>
      <c r="B105" s="10" t="s">
        <v>289</v>
      </c>
      <c r="C105" s="10">
        <v>6</v>
      </c>
      <c r="D105" s="10">
        <v>2</v>
      </c>
      <c r="E105" s="10">
        <v>1</v>
      </c>
      <c r="F105" s="10">
        <v>84664.823999999993</v>
      </c>
      <c r="G105" s="10">
        <v>78.08</v>
      </c>
    </row>
    <row r="106" spans="1:7" x14ac:dyDescent="0.2">
      <c r="A106" s="10" t="s">
        <v>12</v>
      </c>
      <c r="B106" s="10" t="s">
        <v>289</v>
      </c>
      <c r="C106" s="10">
        <v>8</v>
      </c>
      <c r="D106" s="10">
        <v>3</v>
      </c>
      <c r="E106" s="10">
        <v>1</v>
      </c>
      <c r="F106" s="10">
        <v>134054.82298183601</v>
      </c>
      <c r="G106" s="10">
        <v>926.69</v>
      </c>
    </row>
    <row r="107" spans="1:7" x14ac:dyDescent="0.2">
      <c r="A107" s="10" t="s">
        <v>12</v>
      </c>
      <c r="B107" s="10" t="s">
        <v>289</v>
      </c>
      <c r="C107" s="10">
        <v>10</v>
      </c>
      <c r="D107" s="10" t="s">
        <v>25</v>
      </c>
      <c r="E107" s="10">
        <v>1</v>
      </c>
      <c r="F107" s="10">
        <v>163692.44399999999</v>
      </c>
      <c r="G107" s="10">
        <v>3706.02</v>
      </c>
    </row>
    <row r="108" spans="1:7" x14ac:dyDescent="0.2">
      <c r="A108" s="10" t="s">
        <v>12</v>
      </c>
      <c r="B108" s="10" t="s">
        <v>289</v>
      </c>
      <c r="C108" s="10">
        <v>12</v>
      </c>
      <c r="D108" s="10">
        <v>4</v>
      </c>
      <c r="E108" s="10">
        <v>1</v>
      </c>
      <c r="F108" s="10">
        <v>179503.44</v>
      </c>
      <c r="G108" s="10">
        <v>3743.89</v>
      </c>
    </row>
    <row r="109" spans="1:7" x14ac:dyDescent="0.2">
      <c r="A109" s="10" t="s">
        <v>12</v>
      </c>
      <c r="B109" s="10" t="s">
        <v>289</v>
      </c>
      <c r="C109" s="10">
        <v>14</v>
      </c>
      <c r="D109" s="10">
        <v>4</v>
      </c>
      <c r="E109" s="10">
        <v>1</v>
      </c>
      <c r="F109" s="10">
        <v>209837.07599999901</v>
      </c>
      <c r="G109" s="10">
        <v>3815.57</v>
      </c>
    </row>
    <row r="110" spans="1:7" x14ac:dyDescent="0.2">
      <c r="A110" s="10" t="s">
        <v>12</v>
      </c>
      <c r="B110" s="10" t="s">
        <v>289</v>
      </c>
      <c r="C110" s="10">
        <v>16</v>
      </c>
      <c r="D110" s="10">
        <v>5</v>
      </c>
      <c r="E110" s="10">
        <v>1</v>
      </c>
      <c r="F110" s="10">
        <v>236757.08404947899</v>
      </c>
      <c r="G110" s="10">
        <v>3913.12</v>
      </c>
    </row>
    <row r="111" spans="1:7" x14ac:dyDescent="0.2">
      <c r="A111" s="10" t="s">
        <v>12</v>
      </c>
      <c r="B111" s="10" t="s">
        <v>289</v>
      </c>
      <c r="C111" s="10">
        <v>18</v>
      </c>
      <c r="D111" s="10">
        <v>5</v>
      </c>
      <c r="E111" s="10">
        <v>1</v>
      </c>
      <c r="F111" s="10">
        <v>256146.576</v>
      </c>
      <c r="G111" s="10">
        <v>4005.44</v>
      </c>
    </row>
    <row r="112" spans="1:7" x14ac:dyDescent="0.2">
      <c r="A112" s="10" t="s">
        <v>12</v>
      </c>
      <c r="B112" s="10" t="s">
        <v>289</v>
      </c>
      <c r="C112" s="10">
        <v>20</v>
      </c>
      <c r="D112" s="10">
        <v>6</v>
      </c>
      <c r="E112" s="10">
        <v>1</v>
      </c>
      <c r="F112" s="10">
        <v>300574.95600000001</v>
      </c>
      <c r="G112" s="10">
        <v>4188.51</v>
      </c>
    </row>
    <row r="113" spans="1:7" x14ac:dyDescent="0.2">
      <c r="A113" s="10" t="s">
        <v>12</v>
      </c>
      <c r="B113" s="10" t="s">
        <v>289</v>
      </c>
      <c r="C113" s="10">
        <v>22</v>
      </c>
      <c r="D113" s="10">
        <v>7</v>
      </c>
      <c r="E113" s="10">
        <v>1</v>
      </c>
      <c r="F113" s="11" t="s">
        <v>15</v>
      </c>
      <c r="G113" s="10" t="s">
        <v>32</v>
      </c>
    </row>
    <row r="114" spans="1:7" x14ac:dyDescent="0.2">
      <c r="A114" s="10"/>
      <c r="B114" s="10"/>
      <c r="C114" s="10"/>
      <c r="D114" s="10"/>
      <c r="E114" s="10"/>
      <c r="F114" s="11"/>
      <c r="G114" s="11"/>
    </row>
    <row r="115" spans="1:7" x14ac:dyDescent="0.2">
      <c r="A115" s="10" t="s">
        <v>12</v>
      </c>
      <c r="B115" s="10" t="s">
        <v>289</v>
      </c>
      <c r="C115" s="10">
        <v>4</v>
      </c>
      <c r="D115" s="10">
        <v>2</v>
      </c>
      <c r="E115" s="10">
        <v>0.5</v>
      </c>
      <c r="F115" s="10">
        <v>87769.845499999705</v>
      </c>
      <c r="G115" s="10">
        <v>598.79999999999995</v>
      </c>
    </row>
    <row r="116" spans="1:7" x14ac:dyDescent="0.2">
      <c r="A116" s="10" t="s">
        <v>12</v>
      </c>
      <c r="B116" s="10" t="s">
        <v>289</v>
      </c>
      <c r="C116" s="10">
        <v>6</v>
      </c>
      <c r="D116" s="10">
        <v>2</v>
      </c>
      <c r="E116" s="10">
        <v>0.5</v>
      </c>
      <c r="F116" s="10">
        <v>104067.1795</v>
      </c>
      <c r="G116" s="10">
        <v>92.72</v>
      </c>
    </row>
    <row r="117" spans="1:7" x14ac:dyDescent="0.2">
      <c r="A117" s="10" t="s">
        <v>12</v>
      </c>
      <c r="B117" s="10" t="s">
        <v>289</v>
      </c>
      <c r="C117" s="10">
        <v>8</v>
      </c>
      <c r="D117" s="10">
        <v>3</v>
      </c>
      <c r="E117" s="10">
        <v>0.5</v>
      </c>
      <c r="F117" s="10">
        <v>182785.59899998401</v>
      </c>
      <c r="G117" s="10">
        <v>3644.61</v>
      </c>
    </row>
    <row r="118" spans="1:7" x14ac:dyDescent="0.2">
      <c r="A118" s="10" t="s">
        <v>12</v>
      </c>
      <c r="B118" s="10" t="s">
        <v>289</v>
      </c>
      <c r="C118" s="10">
        <v>10</v>
      </c>
      <c r="D118" s="10" t="s">
        <v>25</v>
      </c>
      <c r="E118" s="10">
        <v>0.5</v>
      </c>
      <c r="F118" s="10">
        <v>238274.43513989699</v>
      </c>
      <c r="G118" s="10">
        <v>3705.47</v>
      </c>
    </row>
    <row r="119" spans="1:7" x14ac:dyDescent="0.2">
      <c r="A119" s="10" t="s">
        <v>12</v>
      </c>
      <c r="B119" s="10" t="s">
        <v>289</v>
      </c>
      <c r="C119" s="10">
        <v>12</v>
      </c>
      <c r="D119" s="10">
        <v>4</v>
      </c>
      <c r="E119" s="10">
        <v>0.5</v>
      </c>
      <c r="F119" s="11" t="s">
        <v>15</v>
      </c>
      <c r="G119" s="10" t="s">
        <v>32</v>
      </c>
    </row>
    <row r="120" spans="1:7" x14ac:dyDescent="0.2">
      <c r="A120" s="10" t="s">
        <v>12</v>
      </c>
      <c r="B120" s="10" t="s">
        <v>289</v>
      </c>
      <c r="C120" s="10">
        <v>14</v>
      </c>
      <c r="D120" s="10">
        <v>4</v>
      </c>
      <c r="E120" s="10">
        <v>0.5</v>
      </c>
      <c r="F120" s="11" t="s">
        <v>15</v>
      </c>
      <c r="G120" s="10" t="s">
        <v>32</v>
      </c>
    </row>
    <row r="121" spans="1:7" x14ac:dyDescent="0.2">
      <c r="A121" s="10" t="s">
        <v>12</v>
      </c>
      <c r="B121" s="10" t="s">
        <v>289</v>
      </c>
      <c r="C121" s="10">
        <v>16</v>
      </c>
      <c r="D121" s="10">
        <v>5</v>
      </c>
      <c r="E121" s="10">
        <v>0.5</v>
      </c>
      <c r="F121" s="11" t="s">
        <v>15</v>
      </c>
      <c r="G121" s="10" t="s">
        <v>32</v>
      </c>
    </row>
    <row r="122" spans="1:7" x14ac:dyDescent="0.2">
      <c r="A122" s="10" t="s">
        <v>12</v>
      </c>
      <c r="B122" s="10" t="s">
        <v>289</v>
      </c>
      <c r="C122" s="10">
        <v>18</v>
      </c>
      <c r="D122" s="10" t="s">
        <v>29</v>
      </c>
      <c r="E122" s="10">
        <v>0.5</v>
      </c>
      <c r="F122" s="11" t="s">
        <v>15</v>
      </c>
      <c r="G122" s="10" t="s">
        <v>32</v>
      </c>
    </row>
    <row r="123" spans="1:7" x14ac:dyDescent="0.2">
      <c r="A123" s="10" t="s">
        <v>12</v>
      </c>
      <c r="B123" s="10" t="s">
        <v>289</v>
      </c>
      <c r="C123" s="10">
        <v>20</v>
      </c>
      <c r="D123" s="10">
        <v>6</v>
      </c>
      <c r="E123" s="10">
        <v>0.5</v>
      </c>
      <c r="F123" s="11" t="s">
        <v>15</v>
      </c>
      <c r="G123" s="10" t="s">
        <v>32</v>
      </c>
    </row>
    <row r="124" spans="1:7" x14ac:dyDescent="0.2">
      <c r="A124" s="10" t="s">
        <v>12</v>
      </c>
      <c r="B124" s="10" t="s">
        <v>289</v>
      </c>
      <c r="C124" s="10">
        <v>22</v>
      </c>
      <c r="D124" s="10">
        <v>7</v>
      </c>
      <c r="E124" s="10">
        <v>0.5</v>
      </c>
      <c r="F124" s="11" t="s">
        <v>15</v>
      </c>
      <c r="G124" s="10" t="s">
        <v>32</v>
      </c>
    </row>
    <row r="125" spans="1:7" x14ac:dyDescent="0.2">
      <c r="A125" s="10"/>
      <c r="B125" s="10"/>
      <c r="C125" s="10"/>
      <c r="D125" s="10"/>
      <c r="E125" s="10"/>
      <c r="F125" s="11"/>
      <c r="G125" s="11"/>
    </row>
    <row r="126" spans="1:7" x14ac:dyDescent="0.2">
      <c r="A126" s="10" t="s">
        <v>12</v>
      </c>
      <c r="B126" s="10" t="s">
        <v>289</v>
      </c>
      <c r="C126" s="10">
        <v>4</v>
      </c>
      <c r="D126" s="10">
        <v>2</v>
      </c>
      <c r="E126" s="10">
        <v>0.3</v>
      </c>
      <c r="F126" s="10">
        <v>140941.116121864</v>
      </c>
      <c r="G126" s="10">
        <v>1363.22</v>
      </c>
    </row>
    <row r="127" spans="1:7" x14ac:dyDescent="0.2">
      <c r="A127" s="10" t="s">
        <v>12</v>
      </c>
      <c r="B127" s="10" t="s">
        <v>289</v>
      </c>
      <c r="C127" s="10">
        <v>6</v>
      </c>
      <c r="D127" s="10">
        <v>2</v>
      </c>
      <c r="E127" s="10">
        <v>0.3</v>
      </c>
      <c r="F127" s="10">
        <v>125962.46895890401</v>
      </c>
      <c r="G127" s="10">
        <v>138.80000000000001</v>
      </c>
    </row>
    <row r="128" spans="1:7" x14ac:dyDescent="0.2">
      <c r="A128" s="10" t="s">
        <v>12</v>
      </c>
      <c r="B128" s="10" t="s">
        <v>289</v>
      </c>
      <c r="C128" s="10">
        <v>8</v>
      </c>
      <c r="D128" s="10" t="s">
        <v>25</v>
      </c>
      <c r="E128" s="10">
        <v>0.3</v>
      </c>
      <c r="F128" s="11" t="s">
        <v>15</v>
      </c>
      <c r="G128" s="10" t="s">
        <v>32</v>
      </c>
    </row>
    <row r="129" spans="1:7" x14ac:dyDescent="0.2">
      <c r="A129" s="10" t="s">
        <v>12</v>
      </c>
      <c r="B129" s="10" t="s">
        <v>289</v>
      </c>
      <c r="C129" s="10">
        <v>10</v>
      </c>
      <c r="D129" s="10" t="s">
        <v>25</v>
      </c>
      <c r="E129" s="10">
        <v>0.3</v>
      </c>
      <c r="F129" s="11" t="s">
        <v>15</v>
      </c>
      <c r="G129" s="10" t="s">
        <v>32</v>
      </c>
    </row>
    <row r="130" spans="1:7" x14ac:dyDescent="0.2">
      <c r="A130" s="10" t="s">
        <v>12</v>
      </c>
      <c r="B130" s="10" t="s">
        <v>289</v>
      </c>
      <c r="C130" s="10">
        <v>12</v>
      </c>
      <c r="D130" s="10" t="s">
        <v>26</v>
      </c>
      <c r="E130" s="10">
        <v>0.3</v>
      </c>
      <c r="F130" s="11" t="s">
        <v>15</v>
      </c>
      <c r="G130" s="10" t="s">
        <v>32</v>
      </c>
    </row>
    <row r="131" spans="1:7" x14ac:dyDescent="0.2">
      <c r="A131" s="10" t="s">
        <v>12</v>
      </c>
      <c r="B131" s="10" t="s">
        <v>289</v>
      </c>
      <c r="C131" s="10">
        <v>14</v>
      </c>
      <c r="D131" s="10" t="s">
        <v>26</v>
      </c>
      <c r="E131" s="10">
        <v>0.3</v>
      </c>
      <c r="F131" s="11" t="s">
        <v>15</v>
      </c>
      <c r="G131" s="10" t="s">
        <v>32</v>
      </c>
    </row>
    <row r="132" spans="1:7" x14ac:dyDescent="0.2">
      <c r="A132" s="10" t="s">
        <v>12</v>
      </c>
      <c r="B132" s="10" t="s">
        <v>289</v>
      </c>
      <c r="C132" s="10">
        <v>16</v>
      </c>
      <c r="D132" s="10" t="s">
        <v>29</v>
      </c>
      <c r="E132" s="10">
        <v>0.3</v>
      </c>
      <c r="F132" s="11" t="s">
        <v>15</v>
      </c>
      <c r="G132" s="10" t="s">
        <v>32</v>
      </c>
    </row>
    <row r="133" spans="1:7" x14ac:dyDescent="0.2">
      <c r="A133" s="10" t="s">
        <v>12</v>
      </c>
      <c r="B133" s="10" t="s">
        <v>289</v>
      </c>
      <c r="C133" s="10">
        <v>18</v>
      </c>
      <c r="D133" s="10" t="s">
        <v>29</v>
      </c>
      <c r="E133" s="10">
        <v>0.3</v>
      </c>
      <c r="F133" s="11" t="s">
        <v>15</v>
      </c>
      <c r="G133" s="10" t="s">
        <v>32</v>
      </c>
    </row>
    <row r="134" spans="1:7" x14ac:dyDescent="0.2">
      <c r="A134" s="10" t="s">
        <v>12</v>
      </c>
      <c r="B134" s="10" t="s">
        <v>289</v>
      </c>
      <c r="C134" s="10">
        <v>20</v>
      </c>
      <c r="D134" s="10" t="s">
        <v>27</v>
      </c>
      <c r="E134" s="10">
        <v>0.3</v>
      </c>
      <c r="F134" s="11" t="s">
        <v>15</v>
      </c>
      <c r="G134" s="10" t="s">
        <v>32</v>
      </c>
    </row>
    <row r="135" spans="1:7" x14ac:dyDescent="0.2">
      <c r="A135" s="10" t="s">
        <v>12</v>
      </c>
      <c r="B135" s="10" t="s">
        <v>289</v>
      </c>
      <c r="C135" s="10">
        <v>22</v>
      </c>
      <c r="D135" s="10">
        <v>7</v>
      </c>
      <c r="E135" s="10">
        <v>0.3</v>
      </c>
      <c r="F135" s="11" t="s">
        <v>15</v>
      </c>
      <c r="G135" s="10" t="s">
        <v>32</v>
      </c>
    </row>
    <row r="136" spans="1:7" x14ac:dyDescent="0.2">
      <c r="A136" s="10"/>
      <c r="B136" s="10"/>
      <c r="C136" s="10"/>
      <c r="D136" s="10"/>
      <c r="E136" s="10"/>
      <c r="F136" s="10"/>
      <c r="G136" s="10"/>
    </row>
    <row r="137" spans="1:7" x14ac:dyDescent="0.2">
      <c r="A137" s="10" t="s">
        <v>13</v>
      </c>
      <c r="B137" s="10" t="s">
        <v>289</v>
      </c>
      <c r="C137" s="10">
        <v>4</v>
      </c>
      <c r="D137" s="10">
        <v>2</v>
      </c>
      <c r="E137" s="10">
        <v>1</v>
      </c>
      <c r="F137" s="10">
        <v>75693.7198250324</v>
      </c>
      <c r="G137" s="10">
        <v>130.54</v>
      </c>
    </row>
    <row r="138" spans="1:7" x14ac:dyDescent="0.2">
      <c r="A138" s="10" t="s">
        <v>13</v>
      </c>
      <c r="B138" s="10" t="s">
        <v>289</v>
      </c>
      <c r="C138" s="10">
        <v>6</v>
      </c>
      <c r="D138" s="10">
        <v>3</v>
      </c>
      <c r="E138" s="10">
        <v>1</v>
      </c>
      <c r="F138" s="10">
        <v>116220.38017038599</v>
      </c>
      <c r="G138" s="10">
        <v>766.38</v>
      </c>
    </row>
    <row r="139" spans="1:7" x14ac:dyDescent="0.2">
      <c r="A139" s="10" t="s">
        <v>13</v>
      </c>
      <c r="B139" s="10" t="s">
        <v>289</v>
      </c>
      <c r="C139" s="10">
        <v>8</v>
      </c>
      <c r="D139" s="10">
        <v>3</v>
      </c>
      <c r="E139" s="10">
        <v>1</v>
      </c>
      <c r="F139" s="10">
        <v>148230.119749998</v>
      </c>
      <c r="G139" s="10">
        <v>3654.34</v>
      </c>
    </row>
    <row r="140" spans="1:7" x14ac:dyDescent="0.2">
      <c r="A140" s="10" t="s">
        <v>13</v>
      </c>
      <c r="B140" s="10" t="s">
        <v>289</v>
      </c>
      <c r="C140" s="10">
        <v>10</v>
      </c>
      <c r="D140" s="10">
        <v>4</v>
      </c>
      <c r="E140" s="10">
        <v>1</v>
      </c>
      <c r="F140" s="10">
        <v>165141.75393238201</v>
      </c>
      <c r="G140" s="10">
        <v>3710.51</v>
      </c>
    </row>
    <row r="141" spans="1:7" x14ac:dyDescent="0.2">
      <c r="A141" s="10" t="s">
        <v>13</v>
      </c>
      <c r="B141" s="10" t="s">
        <v>289</v>
      </c>
      <c r="C141" s="10">
        <v>12</v>
      </c>
      <c r="D141" s="10">
        <v>4</v>
      </c>
      <c r="E141" s="10">
        <v>1</v>
      </c>
      <c r="F141" s="10">
        <v>197614.30788381299</v>
      </c>
      <c r="G141" s="10">
        <v>3745.39</v>
      </c>
    </row>
    <row r="142" spans="1:7" x14ac:dyDescent="0.2">
      <c r="A142" s="10" t="s">
        <v>13</v>
      </c>
      <c r="B142" s="10" t="s">
        <v>289</v>
      </c>
      <c r="C142" s="10">
        <v>14</v>
      </c>
      <c r="D142" s="10">
        <v>5</v>
      </c>
      <c r="E142" s="10">
        <v>1</v>
      </c>
      <c r="F142" s="10">
        <v>230962.535999999</v>
      </c>
      <c r="G142" s="10">
        <v>3849.01</v>
      </c>
    </row>
    <row r="143" spans="1:7" x14ac:dyDescent="0.2">
      <c r="A143" s="10" t="s">
        <v>13</v>
      </c>
      <c r="B143" s="10" t="s">
        <v>289</v>
      </c>
      <c r="C143" s="10">
        <v>16</v>
      </c>
      <c r="D143" s="10">
        <v>5</v>
      </c>
      <c r="E143" s="10">
        <v>1</v>
      </c>
      <c r="F143" s="10">
        <v>233584.11068248301</v>
      </c>
      <c r="G143" s="10">
        <v>3915.37</v>
      </c>
    </row>
    <row r="144" spans="1:7" x14ac:dyDescent="0.2">
      <c r="A144" s="10" t="s">
        <v>13</v>
      </c>
      <c r="B144" s="10" t="s">
        <v>289</v>
      </c>
      <c r="C144" s="10">
        <v>18</v>
      </c>
      <c r="D144" s="10">
        <v>6</v>
      </c>
      <c r="E144" s="10">
        <v>1</v>
      </c>
      <c r="F144" s="10">
        <v>260325.095999999</v>
      </c>
      <c r="G144" s="10">
        <v>3589.53</v>
      </c>
    </row>
    <row r="145" spans="1:7" x14ac:dyDescent="0.2">
      <c r="A145" s="10" t="s">
        <v>13</v>
      </c>
      <c r="B145" s="10" t="s">
        <v>289</v>
      </c>
      <c r="C145" s="10">
        <v>20</v>
      </c>
      <c r="D145" s="10">
        <v>6</v>
      </c>
      <c r="E145" s="10">
        <v>1</v>
      </c>
      <c r="F145" s="10">
        <v>298488.93559347099</v>
      </c>
      <c r="G145" s="10">
        <v>4213.93</v>
      </c>
    </row>
    <row r="146" spans="1:7" x14ac:dyDescent="0.2">
      <c r="A146" s="10" t="s">
        <v>13</v>
      </c>
      <c r="B146" s="10" t="s">
        <v>289</v>
      </c>
      <c r="C146" s="10">
        <v>22</v>
      </c>
      <c r="D146" s="10">
        <v>7</v>
      </c>
      <c r="E146" s="10">
        <v>1</v>
      </c>
      <c r="F146" s="11" t="s">
        <v>15</v>
      </c>
      <c r="G146" s="10" t="s">
        <v>32</v>
      </c>
    </row>
    <row r="147" spans="1:7" x14ac:dyDescent="0.2">
      <c r="A147" s="10"/>
      <c r="B147" s="10"/>
      <c r="C147" s="10"/>
      <c r="D147" s="10"/>
      <c r="E147" s="10"/>
      <c r="F147" s="11"/>
      <c r="G147" s="11"/>
    </row>
    <row r="148" spans="1:7" x14ac:dyDescent="0.2">
      <c r="A148" s="10" t="s">
        <v>13</v>
      </c>
      <c r="B148" s="10" t="s">
        <v>289</v>
      </c>
      <c r="C148" s="10">
        <v>4</v>
      </c>
      <c r="D148" s="10">
        <v>2</v>
      </c>
      <c r="E148" s="10">
        <v>0.5</v>
      </c>
      <c r="F148" s="10">
        <v>94788.780150025093</v>
      </c>
      <c r="G148" s="10">
        <v>137.6</v>
      </c>
    </row>
    <row r="149" spans="1:7" x14ac:dyDescent="0.2">
      <c r="A149" s="10" t="s">
        <v>13</v>
      </c>
      <c r="B149" s="10" t="s">
        <v>289</v>
      </c>
      <c r="C149" s="10">
        <v>6</v>
      </c>
      <c r="D149" s="10">
        <v>3</v>
      </c>
      <c r="E149" s="10">
        <v>0.5</v>
      </c>
      <c r="F149" s="10">
        <v>154936.74315000701</v>
      </c>
      <c r="G149" s="10">
        <v>3628.97</v>
      </c>
    </row>
    <row r="150" spans="1:7" x14ac:dyDescent="0.2">
      <c r="A150" s="10" t="s">
        <v>13</v>
      </c>
      <c r="B150" s="10" t="s">
        <v>289</v>
      </c>
      <c r="C150" s="10">
        <v>8</v>
      </c>
      <c r="D150" s="10">
        <v>3</v>
      </c>
      <c r="E150" s="10">
        <v>0.5</v>
      </c>
      <c r="F150" s="10">
        <v>219207.69166988699</v>
      </c>
      <c r="G150" s="10">
        <v>3647.87</v>
      </c>
    </row>
    <row r="151" spans="1:7" x14ac:dyDescent="0.2">
      <c r="A151" s="10" t="s">
        <v>13</v>
      </c>
      <c r="B151" s="10" t="s">
        <v>289</v>
      </c>
      <c r="C151" s="10">
        <v>10</v>
      </c>
      <c r="D151" s="10">
        <v>4</v>
      </c>
      <c r="E151" s="10">
        <v>0.5</v>
      </c>
      <c r="F151" s="10">
        <v>218351.757728116</v>
      </c>
      <c r="G151" s="10">
        <v>3709.45</v>
      </c>
    </row>
    <row r="152" spans="1:7" x14ac:dyDescent="0.2">
      <c r="A152" s="10" t="s">
        <v>13</v>
      </c>
      <c r="B152" s="10" t="s">
        <v>289</v>
      </c>
      <c r="C152" s="10">
        <v>12</v>
      </c>
      <c r="D152" s="10" t="s">
        <v>26</v>
      </c>
      <c r="E152" s="10">
        <v>0.5</v>
      </c>
      <c r="F152" s="11" t="s">
        <v>15</v>
      </c>
      <c r="G152" s="10" t="s">
        <v>32</v>
      </c>
    </row>
    <row r="153" spans="1:7" x14ac:dyDescent="0.2">
      <c r="A153" s="10" t="s">
        <v>13</v>
      </c>
      <c r="B153" s="10" t="s">
        <v>289</v>
      </c>
      <c r="C153" s="10">
        <v>14</v>
      </c>
      <c r="D153" s="10">
        <v>5</v>
      </c>
      <c r="E153" s="10">
        <v>0.5</v>
      </c>
      <c r="F153" s="11" t="s">
        <v>15</v>
      </c>
      <c r="G153" s="10" t="s">
        <v>32</v>
      </c>
    </row>
    <row r="154" spans="1:7" x14ac:dyDescent="0.2">
      <c r="A154" s="10" t="s">
        <v>13</v>
      </c>
      <c r="B154" s="10" t="s">
        <v>289</v>
      </c>
      <c r="C154" s="10">
        <v>16</v>
      </c>
      <c r="D154" s="10">
        <v>5</v>
      </c>
      <c r="E154" s="10">
        <v>0.5</v>
      </c>
      <c r="F154" s="11" t="s">
        <v>15</v>
      </c>
      <c r="G154" s="10" t="s">
        <v>32</v>
      </c>
    </row>
    <row r="155" spans="1:7" x14ac:dyDescent="0.2">
      <c r="A155" s="10" t="s">
        <v>13</v>
      </c>
      <c r="B155" s="10" t="s">
        <v>289</v>
      </c>
      <c r="C155" s="10">
        <v>18</v>
      </c>
      <c r="D155" s="10">
        <v>6</v>
      </c>
      <c r="E155" s="10">
        <v>0.5</v>
      </c>
      <c r="F155" s="11" t="s">
        <v>15</v>
      </c>
      <c r="G155" s="10" t="s">
        <v>32</v>
      </c>
    </row>
    <row r="156" spans="1:7" x14ac:dyDescent="0.2">
      <c r="A156" s="10" t="s">
        <v>13</v>
      </c>
      <c r="B156" s="10" t="s">
        <v>289</v>
      </c>
      <c r="C156" s="10">
        <v>20</v>
      </c>
      <c r="D156" s="10">
        <v>6</v>
      </c>
      <c r="E156" s="10">
        <v>0.5</v>
      </c>
      <c r="F156" s="11" t="s">
        <v>15</v>
      </c>
      <c r="G156" s="10" t="s">
        <v>32</v>
      </c>
    </row>
    <row r="157" spans="1:7" x14ac:dyDescent="0.2">
      <c r="A157" s="10" t="s">
        <v>13</v>
      </c>
      <c r="B157" s="10" t="s">
        <v>289</v>
      </c>
      <c r="C157" s="10">
        <v>22</v>
      </c>
      <c r="D157" s="10">
        <v>7</v>
      </c>
      <c r="E157" s="10">
        <v>0.5</v>
      </c>
      <c r="F157" s="11" t="s">
        <v>15</v>
      </c>
      <c r="G157" s="10" t="s">
        <v>32</v>
      </c>
    </row>
    <row r="158" spans="1:7" x14ac:dyDescent="0.2">
      <c r="A158" s="10"/>
      <c r="B158" s="10"/>
      <c r="C158" s="10"/>
      <c r="D158" s="10"/>
      <c r="E158" s="10"/>
      <c r="F158" s="11"/>
      <c r="G158" s="11"/>
    </row>
    <row r="159" spans="1:7" x14ac:dyDescent="0.2">
      <c r="A159" s="10" t="s">
        <v>13</v>
      </c>
      <c r="B159" s="10" t="s">
        <v>289</v>
      </c>
      <c r="C159" s="10">
        <v>4</v>
      </c>
      <c r="D159" s="10">
        <v>2</v>
      </c>
      <c r="E159" s="10">
        <v>0.3</v>
      </c>
      <c r="F159" s="11" t="s">
        <v>15</v>
      </c>
      <c r="G159" s="10" t="s">
        <v>32</v>
      </c>
    </row>
    <row r="160" spans="1:7" x14ac:dyDescent="0.2">
      <c r="A160" s="10" t="s">
        <v>13</v>
      </c>
      <c r="B160" s="10" t="s">
        <v>289</v>
      </c>
      <c r="C160" s="10">
        <v>6</v>
      </c>
      <c r="D160" s="10">
        <v>3</v>
      </c>
      <c r="E160" s="10">
        <v>0.3</v>
      </c>
      <c r="F160" s="11" t="s">
        <v>15</v>
      </c>
      <c r="G160" s="10" t="s">
        <v>32</v>
      </c>
    </row>
    <row r="161" spans="1:7" x14ac:dyDescent="0.2">
      <c r="A161" s="10" t="s">
        <v>13</v>
      </c>
      <c r="B161" s="10" t="s">
        <v>289</v>
      </c>
      <c r="C161" s="10">
        <v>8</v>
      </c>
      <c r="D161" s="10" t="s">
        <v>25</v>
      </c>
      <c r="E161" s="10">
        <v>0.3</v>
      </c>
      <c r="F161" s="10">
        <v>247019.57122999901</v>
      </c>
      <c r="G161" s="10">
        <v>3662.94</v>
      </c>
    </row>
    <row r="162" spans="1:7" x14ac:dyDescent="0.2">
      <c r="A162" s="10" t="s">
        <v>13</v>
      </c>
      <c r="B162" s="10" t="s">
        <v>289</v>
      </c>
      <c r="C162" s="10">
        <v>10</v>
      </c>
      <c r="D162" s="10">
        <v>4</v>
      </c>
      <c r="E162" s="10">
        <v>0.3</v>
      </c>
      <c r="F162" s="11" t="s">
        <v>15</v>
      </c>
      <c r="G162" s="10" t="s">
        <v>32</v>
      </c>
    </row>
    <row r="163" spans="1:7" x14ac:dyDescent="0.2">
      <c r="A163" s="10" t="s">
        <v>13</v>
      </c>
      <c r="B163" s="10" t="s">
        <v>289</v>
      </c>
      <c r="C163" s="10">
        <v>12</v>
      </c>
      <c r="D163" s="10" t="s">
        <v>26</v>
      </c>
      <c r="E163" s="10">
        <v>0.3</v>
      </c>
      <c r="F163" s="11" t="s">
        <v>15</v>
      </c>
      <c r="G163" s="10" t="s">
        <v>32</v>
      </c>
    </row>
    <row r="164" spans="1:7" x14ac:dyDescent="0.2">
      <c r="A164" s="10" t="s">
        <v>13</v>
      </c>
      <c r="B164" s="10" t="s">
        <v>289</v>
      </c>
      <c r="C164" s="10">
        <v>14</v>
      </c>
      <c r="D164" s="10" t="s">
        <v>29</v>
      </c>
      <c r="E164" s="10">
        <v>0.3</v>
      </c>
      <c r="F164" s="11" t="s">
        <v>15</v>
      </c>
      <c r="G164" s="10" t="s">
        <v>32</v>
      </c>
    </row>
    <row r="165" spans="1:7" x14ac:dyDescent="0.2">
      <c r="A165" s="10" t="s">
        <v>13</v>
      </c>
      <c r="B165" s="10" t="s">
        <v>289</v>
      </c>
      <c r="C165" s="10">
        <v>16</v>
      </c>
      <c r="D165" s="10" t="s">
        <v>29</v>
      </c>
      <c r="E165" s="10">
        <v>0.3</v>
      </c>
      <c r="F165" s="11" t="s">
        <v>15</v>
      </c>
      <c r="G165" s="10" t="s">
        <v>32</v>
      </c>
    </row>
    <row r="166" spans="1:7" x14ac:dyDescent="0.2">
      <c r="A166" s="10" t="s">
        <v>13</v>
      </c>
      <c r="B166" s="10" t="s">
        <v>289</v>
      </c>
      <c r="C166" s="10">
        <v>18</v>
      </c>
      <c r="D166" s="10">
        <v>6</v>
      </c>
      <c r="E166" s="10">
        <v>0.3</v>
      </c>
      <c r="F166" s="11" t="s">
        <v>15</v>
      </c>
      <c r="G166" s="10" t="s">
        <v>32</v>
      </c>
    </row>
    <row r="167" spans="1:7" x14ac:dyDescent="0.2">
      <c r="A167" s="10" t="s">
        <v>13</v>
      </c>
      <c r="B167" s="10" t="s">
        <v>289</v>
      </c>
      <c r="C167" s="10">
        <v>20</v>
      </c>
      <c r="D167" s="10" t="s">
        <v>27</v>
      </c>
      <c r="E167" s="10">
        <v>0.3</v>
      </c>
      <c r="F167" s="11" t="s">
        <v>15</v>
      </c>
      <c r="G167" s="10" t="s">
        <v>32</v>
      </c>
    </row>
    <row r="168" spans="1:7" x14ac:dyDescent="0.2">
      <c r="A168" s="10" t="s">
        <v>13</v>
      </c>
      <c r="B168" s="10" t="s">
        <v>289</v>
      </c>
      <c r="C168" s="10">
        <v>22</v>
      </c>
      <c r="D168" s="10">
        <v>7</v>
      </c>
      <c r="E168" s="10">
        <v>0.3</v>
      </c>
      <c r="F168" s="11" t="s">
        <v>15</v>
      </c>
      <c r="G168" s="10" t="s">
        <v>32</v>
      </c>
    </row>
    <row r="169" spans="1:7" x14ac:dyDescent="0.2">
      <c r="A169" s="10"/>
      <c r="B169" s="10"/>
      <c r="C169" s="10"/>
      <c r="D169" s="10"/>
      <c r="E169" s="10"/>
      <c r="F169" s="10"/>
      <c r="G169" s="10"/>
    </row>
    <row r="170" spans="1:7" x14ac:dyDescent="0.2">
      <c r="A170" s="10"/>
      <c r="B170" s="10"/>
      <c r="C170" s="10"/>
      <c r="D170" s="10"/>
      <c r="E170" s="10"/>
      <c r="F170" s="10"/>
      <c r="G170" s="10"/>
    </row>
    <row r="171" spans="1:7" x14ac:dyDescent="0.2">
      <c r="A171" s="12" t="s">
        <v>30</v>
      </c>
      <c r="B171" s="10"/>
      <c r="C171" s="10"/>
      <c r="D171" s="10"/>
      <c r="E171" s="10"/>
      <c r="F171" s="10"/>
      <c r="G171" s="10"/>
    </row>
    <row r="172" spans="1:7" x14ac:dyDescent="0.2">
      <c r="A172" s="10"/>
      <c r="B172" s="10"/>
      <c r="C172" s="10"/>
      <c r="D172" s="10"/>
      <c r="E172" s="10"/>
      <c r="F172" s="10"/>
      <c r="G172" s="10"/>
    </row>
    <row r="173" spans="1:7" x14ac:dyDescent="0.2">
      <c r="A173" s="10"/>
      <c r="B173" s="10"/>
      <c r="C173" s="10"/>
      <c r="D173" s="10"/>
      <c r="E173" s="10"/>
      <c r="F173" s="10"/>
      <c r="G173" s="10"/>
    </row>
    <row r="174" spans="1:7" x14ac:dyDescent="0.2">
      <c r="A174" s="10" t="s">
        <v>9</v>
      </c>
      <c r="B174" s="10" t="s">
        <v>290</v>
      </c>
      <c r="C174" s="10">
        <v>4</v>
      </c>
      <c r="D174" s="10">
        <v>2</v>
      </c>
      <c r="E174" s="10">
        <v>1</v>
      </c>
      <c r="F174" s="10">
        <v>66252.527999999904</v>
      </c>
      <c r="G174" s="10">
        <v>323.48</v>
      </c>
    </row>
    <row r="175" spans="1:7" x14ac:dyDescent="0.2">
      <c r="A175" s="10" t="s">
        <v>9</v>
      </c>
      <c r="B175" s="10" t="s">
        <v>290</v>
      </c>
      <c r="C175" s="10">
        <v>6</v>
      </c>
      <c r="D175" s="10">
        <v>2</v>
      </c>
      <c r="E175" s="10">
        <v>1</v>
      </c>
      <c r="F175" s="10">
        <v>107812.584</v>
      </c>
      <c r="G175" s="10">
        <v>754.13</v>
      </c>
    </row>
    <row r="176" spans="1:7" x14ac:dyDescent="0.2">
      <c r="A176" s="10" t="s">
        <v>9</v>
      </c>
      <c r="B176" s="10" t="s">
        <v>290</v>
      </c>
      <c r="C176" s="10">
        <v>8</v>
      </c>
      <c r="D176" s="10">
        <v>3</v>
      </c>
      <c r="E176" s="10">
        <v>1</v>
      </c>
      <c r="F176" s="10">
        <v>162547.49940205601</v>
      </c>
      <c r="G176" s="10">
        <v>3709.13</v>
      </c>
    </row>
    <row r="177" spans="1:7" x14ac:dyDescent="0.2">
      <c r="A177" s="10" t="s">
        <v>9</v>
      </c>
      <c r="B177" s="10" t="s">
        <v>290</v>
      </c>
      <c r="C177" s="10">
        <v>10</v>
      </c>
      <c r="D177" s="10">
        <v>3</v>
      </c>
      <c r="E177" s="10">
        <v>1</v>
      </c>
      <c r="F177" s="10">
        <v>182244.85538369301</v>
      </c>
      <c r="G177" s="10">
        <v>3752.69</v>
      </c>
    </row>
    <row r="178" spans="1:7" x14ac:dyDescent="0.2">
      <c r="A178" s="10" t="s">
        <v>9</v>
      </c>
      <c r="B178" s="10" t="s">
        <v>290</v>
      </c>
      <c r="C178" s="10">
        <v>12</v>
      </c>
      <c r="D178" s="10">
        <v>4</v>
      </c>
      <c r="E178" s="10">
        <v>1</v>
      </c>
      <c r="F178" s="11" t="s">
        <v>15</v>
      </c>
      <c r="G178" s="10" t="s">
        <v>32</v>
      </c>
    </row>
    <row r="179" spans="1:7" x14ac:dyDescent="0.2">
      <c r="A179" s="10" t="s">
        <v>9</v>
      </c>
      <c r="B179" s="10" t="s">
        <v>290</v>
      </c>
      <c r="C179" s="10">
        <v>14</v>
      </c>
      <c r="D179" s="10">
        <v>4</v>
      </c>
      <c r="E179" s="10">
        <v>1</v>
      </c>
      <c r="F179" s="11" t="s">
        <v>15</v>
      </c>
      <c r="G179" s="10" t="s">
        <v>32</v>
      </c>
    </row>
    <row r="180" spans="1:7" x14ac:dyDescent="0.2">
      <c r="A180" s="10" t="s">
        <v>9</v>
      </c>
      <c r="B180" s="10" t="s">
        <v>290</v>
      </c>
      <c r="C180" s="10">
        <v>16</v>
      </c>
      <c r="D180" s="10">
        <v>5</v>
      </c>
      <c r="E180" s="10">
        <v>1</v>
      </c>
      <c r="F180" s="11" t="s">
        <v>15</v>
      </c>
      <c r="G180" s="10" t="s">
        <v>32</v>
      </c>
    </row>
    <row r="181" spans="1:7" x14ac:dyDescent="0.2">
      <c r="A181" s="10"/>
      <c r="B181" s="10"/>
      <c r="C181" s="10"/>
      <c r="D181" s="10"/>
      <c r="E181" s="10"/>
      <c r="F181" s="10"/>
      <c r="G181" s="10"/>
    </row>
    <row r="182" spans="1:7" x14ac:dyDescent="0.2">
      <c r="A182" s="10" t="s">
        <v>9</v>
      </c>
      <c r="B182" s="10" t="s">
        <v>290</v>
      </c>
      <c r="C182" s="10">
        <v>4</v>
      </c>
      <c r="D182" s="10">
        <v>2</v>
      </c>
      <c r="E182" s="10">
        <v>0.5</v>
      </c>
      <c r="F182" s="10">
        <v>82624.588250017405</v>
      </c>
      <c r="G182" s="10">
        <v>1453.72</v>
      </c>
    </row>
    <row r="183" spans="1:7" x14ac:dyDescent="0.2">
      <c r="A183" s="10" t="s">
        <v>9</v>
      </c>
      <c r="B183" s="10" t="s">
        <v>290</v>
      </c>
      <c r="C183" s="10">
        <v>6</v>
      </c>
      <c r="D183" s="10">
        <v>2</v>
      </c>
      <c r="E183" s="10">
        <v>0.5</v>
      </c>
      <c r="F183" s="10">
        <v>169057.68532509799</v>
      </c>
      <c r="G183" s="10">
        <v>3661.22</v>
      </c>
    </row>
    <row r="184" spans="1:7" x14ac:dyDescent="0.2">
      <c r="A184" s="10" t="s">
        <v>9</v>
      </c>
      <c r="B184" s="10" t="s">
        <v>290</v>
      </c>
      <c r="C184" s="10">
        <v>8</v>
      </c>
      <c r="D184" s="10">
        <v>3</v>
      </c>
      <c r="E184" s="10">
        <v>0.5</v>
      </c>
      <c r="F184" s="11" t="s">
        <v>15</v>
      </c>
      <c r="G184" s="10" t="s">
        <v>32</v>
      </c>
    </row>
    <row r="185" spans="1:7" x14ac:dyDescent="0.2">
      <c r="A185" s="10" t="s">
        <v>9</v>
      </c>
      <c r="B185" s="10" t="s">
        <v>290</v>
      </c>
      <c r="C185" s="10">
        <v>10</v>
      </c>
      <c r="D185" s="10">
        <v>3</v>
      </c>
      <c r="E185" s="10">
        <v>0.5</v>
      </c>
      <c r="F185" s="11" t="s">
        <v>15</v>
      </c>
      <c r="G185" s="10" t="s">
        <v>32</v>
      </c>
    </row>
    <row r="186" spans="1:7" x14ac:dyDescent="0.2">
      <c r="A186" s="10" t="s">
        <v>9</v>
      </c>
      <c r="B186" s="10" t="s">
        <v>290</v>
      </c>
      <c r="C186" s="10">
        <v>12</v>
      </c>
      <c r="D186" s="10">
        <v>4</v>
      </c>
      <c r="E186" s="10">
        <v>0.5</v>
      </c>
      <c r="F186" s="11" t="s">
        <v>15</v>
      </c>
      <c r="G186" s="10" t="s">
        <v>32</v>
      </c>
    </row>
    <row r="187" spans="1:7" x14ac:dyDescent="0.2">
      <c r="A187" s="10" t="s">
        <v>9</v>
      </c>
      <c r="B187" s="10" t="s">
        <v>290</v>
      </c>
      <c r="C187" s="10">
        <v>14</v>
      </c>
      <c r="D187" s="10">
        <v>4</v>
      </c>
      <c r="E187" s="10">
        <v>0.5</v>
      </c>
      <c r="F187" s="11" t="s">
        <v>15</v>
      </c>
      <c r="G187" s="10" t="s">
        <v>32</v>
      </c>
    </row>
    <row r="188" spans="1:7" x14ac:dyDescent="0.2">
      <c r="A188" s="10" t="s">
        <v>9</v>
      </c>
      <c r="B188" s="10" t="s">
        <v>290</v>
      </c>
      <c r="C188" s="10">
        <v>16</v>
      </c>
      <c r="D188" s="10">
        <v>5</v>
      </c>
      <c r="E188" s="10">
        <v>0.5</v>
      </c>
      <c r="F188" s="11" t="s">
        <v>15</v>
      </c>
      <c r="G188" s="10" t="s">
        <v>32</v>
      </c>
    </row>
    <row r="189" spans="1:7" x14ac:dyDescent="0.2">
      <c r="A189" s="10"/>
      <c r="B189" s="10"/>
      <c r="C189" s="10"/>
      <c r="D189" s="10"/>
      <c r="E189" s="10"/>
      <c r="F189" s="10"/>
      <c r="G189" s="10"/>
    </row>
    <row r="190" spans="1:7" x14ac:dyDescent="0.2">
      <c r="A190" s="10" t="s">
        <v>9</v>
      </c>
      <c r="B190" s="10" t="s">
        <v>290</v>
      </c>
      <c r="C190" s="10">
        <v>4</v>
      </c>
      <c r="D190" s="10">
        <v>2</v>
      </c>
      <c r="E190" s="10">
        <v>0.3</v>
      </c>
      <c r="F190" s="10">
        <v>101426.65429999999</v>
      </c>
      <c r="G190" s="10">
        <v>3634.83</v>
      </c>
    </row>
    <row r="191" spans="1:7" x14ac:dyDescent="0.2">
      <c r="A191" s="10" t="s">
        <v>9</v>
      </c>
      <c r="B191" s="10" t="s">
        <v>290</v>
      </c>
      <c r="C191" s="10">
        <v>6</v>
      </c>
      <c r="D191" s="10">
        <v>2</v>
      </c>
      <c r="E191" s="10">
        <v>0.3</v>
      </c>
      <c r="F191" s="10">
        <v>175857.44594999999</v>
      </c>
      <c r="G191" s="10">
        <v>3661.27</v>
      </c>
    </row>
    <row r="192" spans="1:7" x14ac:dyDescent="0.2">
      <c r="A192" s="10" t="s">
        <v>9</v>
      </c>
      <c r="B192" s="10" t="s">
        <v>290</v>
      </c>
      <c r="C192" s="10">
        <v>8</v>
      </c>
      <c r="D192" s="10">
        <v>3</v>
      </c>
      <c r="E192" s="10">
        <v>0.3</v>
      </c>
      <c r="F192" s="11" t="s">
        <v>15</v>
      </c>
      <c r="G192" s="10" t="s">
        <v>32</v>
      </c>
    </row>
    <row r="193" spans="1:7" x14ac:dyDescent="0.2">
      <c r="A193" s="10" t="s">
        <v>9</v>
      </c>
      <c r="B193" s="10" t="s">
        <v>290</v>
      </c>
      <c r="C193" s="10">
        <v>10</v>
      </c>
      <c r="D193" s="10">
        <v>3</v>
      </c>
      <c r="E193" s="10">
        <v>0.3</v>
      </c>
      <c r="F193" s="10">
        <v>313085.88987498899</v>
      </c>
      <c r="G193" s="10">
        <v>3751.69</v>
      </c>
    </row>
    <row r="194" spans="1:7" x14ac:dyDescent="0.2">
      <c r="A194" s="10" t="s">
        <v>9</v>
      </c>
      <c r="B194" s="10" t="s">
        <v>290</v>
      </c>
      <c r="C194" s="10">
        <v>12</v>
      </c>
      <c r="D194" s="10">
        <v>4</v>
      </c>
      <c r="E194" s="10">
        <v>0.3</v>
      </c>
      <c r="F194" s="11" t="s">
        <v>15</v>
      </c>
      <c r="G194" s="10" t="s">
        <v>32</v>
      </c>
    </row>
    <row r="195" spans="1:7" x14ac:dyDescent="0.2">
      <c r="A195" s="10" t="s">
        <v>9</v>
      </c>
      <c r="B195" s="10" t="s">
        <v>290</v>
      </c>
      <c r="C195" s="10">
        <v>14</v>
      </c>
      <c r="D195" s="10">
        <v>4</v>
      </c>
      <c r="E195" s="10">
        <v>0.3</v>
      </c>
      <c r="F195" s="11" t="s">
        <v>15</v>
      </c>
      <c r="G195" s="10" t="s">
        <v>32</v>
      </c>
    </row>
    <row r="196" spans="1:7" x14ac:dyDescent="0.2">
      <c r="A196" s="10" t="s">
        <v>9</v>
      </c>
      <c r="B196" s="10" t="s">
        <v>290</v>
      </c>
      <c r="C196" s="10">
        <v>16</v>
      </c>
      <c r="D196" s="10">
        <v>5</v>
      </c>
      <c r="E196" s="10">
        <v>0.3</v>
      </c>
      <c r="F196" s="11" t="s">
        <v>15</v>
      </c>
      <c r="G196" s="10" t="s">
        <v>32</v>
      </c>
    </row>
    <row r="197" spans="1:7" x14ac:dyDescent="0.2">
      <c r="A197" s="10"/>
      <c r="B197" s="10"/>
      <c r="C197" s="10"/>
      <c r="D197" s="10"/>
      <c r="E197" s="10"/>
      <c r="F197" s="10"/>
      <c r="G197" s="10"/>
    </row>
    <row r="198" spans="1:7" x14ac:dyDescent="0.2">
      <c r="A198" s="10" t="s">
        <v>10</v>
      </c>
      <c r="B198" s="10" t="s">
        <v>290</v>
      </c>
      <c r="C198" s="10">
        <v>4</v>
      </c>
      <c r="D198" s="10">
        <v>1</v>
      </c>
      <c r="E198" s="10">
        <v>1</v>
      </c>
      <c r="F198" s="10">
        <v>57884.195389999899</v>
      </c>
      <c r="G198" s="10">
        <v>36.880000000000003</v>
      </c>
    </row>
    <row r="199" spans="1:7" x14ac:dyDescent="0.2">
      <c r="A199" s="10" t="s">
        <v>10</v>
      </c>
      <c r="B199" s="10" t="s">
        <v>290</v>
      </c>
      <c r="C199" s="10">
        <v>6</v>
      </c>
      <c r="D199" s="10">
        <v>2</v>
      </c>
      <c r="E199" s="10">
        <v>1</v>
      </c>
      <c r="F199" s="10">
        <v>114366.31200000001</v>
      </c>
      <c r="G199" s="10">
        <v>761.03</v>
      </c>
    </row>
    <row r="200" spans="1:7" x14ac:dyDescent="0.2">
      <c r="A200" s="10" t="s">
        <v>10</v>
      </c>
      <c r="B200" s="10" t="s">
        <v>290</v>
      </c>
      <c r="C200" s="10">
        <v>8</v>
      </c>
      <c r="D200" s="10">
        <v>3</v>
      </c>
      <c r="E200" s="10">
        <v>1</v>
      </c>
      <c r="F200" s="10">
        <v>135311.96399999899</v>
      </c>
      <c r="G200" s="10">
        <v>2993.66</v>
      </c>
    </row>
    <row r="201" spans="1:7" x14ac:dyDescent="0.2">
      <c r="A201" s="10" t="s">
        <v>10</v>
      </c>
      <c r="B201" s="10" t="s">
        <v>290</v>
      </c>
      <c r="C201" s="10">
        <v>10</v>
      </c>
      <c r="D201" s="10">
        <v>3</v>
      </c>
      <c r="E201" s="10">
        <v>1</v>
      </c>
      <c r="F201" s="10">
        <v>187591.12742829599</v>
      </c>
      <c r="G201" s="10">
        <v>3748.68</v>
      </c>
    </row>
    <row r="202" spans="1:7" x14ac:dyDescent="0.2">
      <c r="A202" s="10" t="s">
        <v>10</v>
      </c>
      <c r="B202" s="10" t="s">
        <v>290</v>
      </c>
      <c r="C202" s="10">
        <v>12</v>
      </c>
      <c r="D202" s="10">
        <v>4</v>
      </c>
      <c r="E202" s="10">
        <v>1</v>
      </c>
      <c r="F202" s="10">
        <v>302302.08773134998</v>
      </c>
      <c r="G202" s="10">
        <v>3838.82</v>
      </c>
    </row>
    <row r="203" spans="1:7" x14ac:dyDescent="0.2">
      <c r="A203" s="10" t="s">
        <v>10</v>
      </c>
      <c r="B203" s="10" t="s">
        <v>290</v>
      </c>
      <c r="C203" s="10">
        <v>14</v>
      </c>
      <c r="D203" s="10">
        <v>4</v>
      </c>
      <c r="E203" s="10">
        <v>1</v>
      </c>
      <c r="F203" s="11" t="s">
        <v>15</v>
      </c>
      <c r="G203" s="10" t="s">
        <v>32</v>
      </c>
    </row>
    <row r="204" spans="1:7" x14ac:dyDescent="0.2">
      <c r="A204" s="10" t="s">
        <v>10</v>
      </c>
      <c r="B204" s="10" t="s">
        <v>290</v>
      </c>
      <c r="C204" s="10">
        <v>16</v>
      </c>
      <c r="D204" s="10">
        <v>5</v>
      </c>
      <c r="E204" s="10">
        <v>1</v>
      </c>
      <c r="F204" s="11" t="s">
        <v>15</v>
      </c>
      <c r="G204" s="10" t="s">
        <v>32</v>
      </c>
    </row>
    <row r="205" spans="1:7" x14ac:dyDescent="0.2">
      <c r="A205" s="10"/>
      <c r="B205" s="10"/>
      <c r="C205" s="10"/>
      <c r="D205" s="10"/>
      <c r="E205" s="10"/>
      <c r="F205" s="11"/>
      <c r="G205" s="11"/>
    </row>
    <row r="206" spans="1:7" x14ac:dyDescent="0.2">
      <c r="A206" s="10" t="s">
        <v>10</v>
      </c>
      <c r="B206" s="10" t="s">
        <v>290</v>
      </c>
      <c r="C206" s="10">
        <v>4</v>
      </c>
      <c r="D206" s="10">
        <v>1</v>
      </c>
      <c r="E206" s="10">
        <v>0.5</v>
      </c>
      <c r="F206" s="10">
        <v>82923.939499999993</v>
      </c>
      <c r="G206" s="10">
        <v>66.55</v>
      </c>
    </row>
    <row r="207" spans="1:7" x14ac:dyDescent="0.2">
      <c r="A207" s="10" t="s">
        <v>10</v>
      </c>
      <c r="B207" s="10" t="s">
        <v>290</v>
      </c>
      <c r="C207" s="10">
        <v>6</v>
      </c>
      <c r="D207" s="10">
        <v>2</v>
      </c>
      <c r="E207" s="10">
        <v>0.5</v>
      </c>
      <c r="F207" s="10">
        <v>171178.410990865</v>
      </c>
      <c r="G207" s="10">
        <v>3641.76</v>
      </c>
    </row>
    <row r="208" spans="1:7" x14ac:dyDescent="0.2">
      <c r="A208" s="10" t="s">
        <v>10</v>
      </c>
      <c r="B208" s="10" t="s">
        <v>290</v>
      </c>
      <c r="C208" s="10">
        <v>8</v>
      </c>
      <c r="D208" s="10">
        <v>3</v>
      </c>
      <c r="E208" s="10">
        <v>0.5</v>
      </c>
      <c r="F208" s="11" t="s">
        <v>15</v>
      </c>
      <c r="G208" s="10" t="s">
        <v>32</v>
      </c>
    </row>
    <row r="209" spans="1:7" x14ac:dyDescent="0.2">
      <c r="A209" s="10" t="s">
        <v>10</v>
      </c>
      <c r="B209" s="10" t="s">
        <v>290</v>
      </c>
      <c r="C209" s="10">
        <v>10</v>
      </c>
      <c r="D209" s="10">
        <v>3</v>
      </c>
      <c r="E209" s="10">
        <v>0.5</v>
      </c>
      <c r="F209" s="11" t="s">
        <v>15</v>
      </c>
      <c r="G209" s="10" t="s">
        <v>32</v>
      </c>
    </row>
    <row r="210" spans="1:7" x14ac:dyDescent="0.2">
      <c r="A210" s="10" t="s">
        <v>10</v>
      </c>
      <c r="B210" s="10" t="s">
        <v>290</v>
      </c>
      <c r="C210" s="10">
        <v>12</v>
      </c>
      <c r="D210" s="10">
        <v>4</v>
      </c>
      <c r="E210" s="10">
        <v>0.5</v>
      </c>
      <c r="F210" s="11" t="s">
        <v>15</v>
      </c>
      <c r="G210" s="10" t="s">
        <v>32</v>
      </c>
    </row>
    <row r="211" spans="1:7" x14ac:dyDescent="0.2">
      <c r="A211" s="10" t="s">
        <v>10</v>
      </c>
      <c r="B211" s="10" t="s">
        <v>290</v>
      </c>
      <c r="C211" s="10">
        <v>14</v>
      </c>
      <c r="D211" s="10">
        <v>4</v>
      </c>
      <c r="E211" s="10">
        <v>0.5</v>
      </c>
      <c r="F211" s="11" t="s">
        <v>15</v>
      </c>
      <c r="G211" s="10" t="s">
        <v>32</v>
      </c>
    </row>
    <row r="212" spans="1:7" x14ac:dyDescent="0.2">
      <c r="A212" s="10" t="s">
        <v>10</v>
      </c>
      <c r="B212" s="10" t="s">
        <v>290</v>
      </c>
      <c r="C212" s="10">
        <v>16</v>
      </c>
      <c r="D212" s="10">
        <v>5</v>
      </c>
      <c r="E212" s="10">
        <v>0.5</v>
      </c>
      <c r="F212" s="11" t="s">
        <v>15</v>
      </c>
      <c r="G212" s="10" t="s">
        <v>32</v>
      </c>
    </row>
    <row r="213" spans="1:7" x14ac:dyDescent="0.2">
      <c r="A213" s="10"/>
      <c r="B213" s="10"/>
      <c r="C213" s="10"/>
      <c r="D213" s="10"/>
      <c r="E213" s="10"/>
      <c r="F213" s="11"/>
      <c r="G213" s="11"/>
    </row>
    <row r="214" spans="1:7" x14ac:dyDescent="0.2">
      <c r="A214" s="10" t="s">
        <v>10</v>
      </c>
      <c r="B214" s="10" t="s">
        <v>290</v>
      </c>
      <c r="C214" s="10">
        <v>4</v>
      </c>
      <c r="D214" s="10">
        <v>1</v>
      </c>
      <c r="E214" s="10">
        <v>0.3</v>
      </c>
      <c r="F214" s="11" t="s">
        <v>15</v>
      </c>
      <c r="G214" s="10" t="s">
        <v>32</v>
      </c>
    </row>
    <row r="215" spans="1:7" x14ac:dyDescent="0.2">
      <c r="A215" s="10" t="s">
        <v>10</v>
      </c>
      <c r="B215" s="10" t="s">
        <v>290</v>
      </c>
      <c r="C215" s="10">
        <v>6</v>
      </c>
      <c r="D215" s="10">
        <v>2</v>
      </c>
      <c r="E215" s="10">
        <v>0.3</v>
      </c>
      <c r="F215" s="11" t="s">
        <v>15</v>
      </c>
      <c r="G215" s="10" t="s">
        <v>32</v>
      </c>
    </row>
    <row r="216" spans="1:7" x14ac:dyDescent="0.2">
      <c r="A216" s="10" t="s">
        <v>10</v>
      </c>
      <c r="B216" s="10" t="s">
        <v>290</v>
      </c>
      <c r="C216" s="10">
        <v>8</v>
      </c>
      <c r="D216" s="10">
        <v>3</v>
      </c>
      <c r="E216" s="10">
        <v>0.3</v>
      </c>
      <c r="F216" s="11" t="s">
        <v>15</v>
      </c>
      <c r="G216" s="10" t="s">
        <v>32</v>
      </c>
    </row>
    <row r="217" spans="1:7" x14ac:dyDescent="0.2">
      <c r="A217" s="10" t="s">
        <v>10</v>
      </c>
      <c r="B217" s="10" t="s">
        <v>290</v>
      </c>
      <c r="C217" s="10">
        <v>10</v>
      </c>
      <c r="D217" s="10">
        <v>3</v>
      </c>
      <c r="E217" s="10">
        <v>0.3</v>
      </c>
      <c r="F217" s="11" t="s">
        <v>15</v>
      </c>
      <c r="G217" s="10" t="s">
        <v>32</v>
      </c>
    </row>
    <row r="218" spans="1:7" x14ac:dyDescent="0.2">
      <c r="A218" s="10" t="s">
        <v>10</v>
      </c>
      <c r="B218" s="10" t="s">
        <v>290</v>
      </c>
      <c r="C218" s="10">
        <v>12</v>
      </c>
      <c r="D218" s="10">
        <v>4</v>
      </c>
      <c r="E218" s="10">
        <v>0.3</v>
      </c>
      <c r="F218" s="11" t="s">
        <v>15</v>
      </c>
      <c r="G218" s="10" t="s">
        <v>32</v>
      </c>
    </row>
    <row r="219" spans="1:7" x14ac:dyDescent="0.2">
      <c r="A219" s="10" t="s">
        <v>10</v>
      </c>
      <c r="B219" s="10" t="s">
        <v>290</v>
      </c>
      <c r="C219" s="10">
        <v>14</v>
      </c>
      <c r="D219" s="10">
        <v>4</v>
      </c>
      <c r="E219" s="10">
        <v>0.3</v>
      </c>
      <c r="F219" s="11" t="s">
        <v>15</v>
      </c>
      <c r="G219" s="10" t="s">
        <v>32</v>
      </c>
    </row>
    <row r="220" spans="1:7" x14ac:dyDescent="0.2">
      <c r="A220" s="10" t="s">
        <v>10</v>
      </c>
      <c r="B220" s="10" t="s">
        <v>290</v>
      </c>
      <c r="C220" s="10">
        <v>16</v>
      </c>
      <c r="D220" s="10">
        <v>5</v>
      </c>
      <c r="E220" s="10">
        <v>0.3</v>
      </c>
      <c r="F220" s="11" t="s">
        <v>15</v>
      </c>
      <c r="G220" s="10" t="s">
        <v>32</v>
      </c>
    </row>
    <row r="221" spans="1:7" x14ac:dyDescent="0.2">
      <c r="A221" s="10"/>
      <c r="B221" s="10"/>
      <c r="C221" s="10"/>
      <c r="D221" s="10"/>
      <c r="E221" s="10"/>
      <c r="F221" s="10"/>
      <c r="G221" s="10"/>
    </row>
    <row r="222" spans="1:7" x14ac:dyDescent="0.2">
      <c r="A222" s="10" t="s">
        <v>11</v>
      </c>
      <c r="B222" s="10" t="s">
        <v>290</v>
      </c>
      <c r="C222" s="10">
        <v>4</v>
      </c>
      <c r="D222" s="10">
        <v>1</v>
      </c>
      <c r="E222" s="10">
        <v>1</v>
      </c>
      <c r="F222" s="10">
        <v>62091.683999999899</v>
      </c>
      <c r="G222" s="10">
        <v>31.53</v>
      </c>
    </row>
    <row r="223" spans="1:7" x14ac:dyDescent="0.2">
      <c r="A223" s="10" t="s">
        <v>11</v>
      </c>
      <c r="B223" s="10" t="s">
        <v>290</v>
      </c>
      <c r="C223" s="10">
        <v>6</v>
      </c>
      <c r="D223" s="10">
        <v>2</v>
      </c>
      <c r="E223" s="10">
        <v>1</v>
      </c>
      <c r="F223" s="10">
        <v>106724.819999999</v>
      </c>
      <c r="G223" s="10">
        <v>683.19</v>
      </c>
    </row>
    <row r="224" spans="1:7" x14ac:dyDescent="0.2">
      <c r="A224" s="10" t="s">
        <v>11</v>
      </c>
      <c r="B224" s="10" t="s">
        <v>290</v>
      </c>
      <c r="C224" s="10">
        <v>8</v>
      </c>
      <c r="D224" s="10">
        <v>3</v>
      </c>
      <c r="E224" s="10">
        <v>1</v>
      </c>
      <c r="F224" s="10">
        <v>140474.46</v>
      </c>
      <c r="G224" s="10">
        <v>1749.89</v>
      </c>
    </row>
    <row r="225" spans="1:7" x14ac:dyDescent="0.2">
      <c r="A225" s="10" t="s">
        <v>11</v>
      </c>
      <c r="B225" s="10" t="s">
        <v>290</v>
      </c>
      <c r="C225" s="10">
        <v>10</v>
      </c>
      <c r="D225" s="10">
        <v>3</v>
      </c>
      <c r="E225" s="10">
        <v>1</v>
      </c>
      <c r="F225" s="11" t="s">
        <v>15</v>
      </c>
      <c r="G225" s="10" t="s">
        <v>32</v>
      </c>
    </row>
    <row r="226" spans="1:7" x14ac:dyDescent="0.2">
      <c r="A226" s="10" t="s">
        <v>11</v>
      </c>
      <c r="B226" s="10" t="s">
        <v>290</v>
      </c>
      <c r="C226" s="10">
        <v>12</v>
      </c>
      <c r="D226" s="10">
        <v>4</v>
      </c>
      <c r="E226" s="10">
        <v>1</v>
      </c>
      <c r="F226" s="10">
        <v>455663.576</v>
      </c>
      <c r="G226" s="10">
        <v>3840.16</v>
      </c>
    </row>
    <row r="227" spans="1:7" x14ac:dyDescent="0.2">
      <c r="A227" s="10" t="s">
        <v>11</v>
      </c>
      <c r="B227" s="10" t="s">
        <v>290</v>
      </c>
      <c r="C227" s="10">
        <v>14</v>
      </c>
      <c r="D227" s="10">
        <v>4</v>
      </c>
      <c r="E227" s="10">
        <v>1</v>
      </c>
      <c r="F227" s="11" t="s">
        <v>15</v>
      </c>
      <c r="G227" s="10" t="s">
        <v>32</v>
      </c>
    </row>
    <row r="228" spans="1:7" x14ac:dyDescent="0.2">
      <c r="A228" s="10" t="s">
        <v>11</v>
      </c>
      <c r="B228" s="10" t="s">
        <v>290</v>
      </c>
      <c r="C228" s="10">
        <v>16</v>
      </c>
      <c r="D228" s="10">
        <v>5</v>
      </c>
      <c r="E228" s="10">
        <v>1</v>
      </c>
      <c r="F228" s="11" t="s">
        <v>15</v>
      </c>
      <c r="G228" s="10" t="s">
        <v>32</v>
      </c>
    </row>
    <row r="229" spans="1:7" x14ac:dyDescent="0.2">
      <c r="A229" s="10"/>
      <c r="B229" s="10"/>
      <c r="C229" s="10"/>
      <c r="D229" s="10"/>
      <c r="E229" s="10"/>
      <c r="F229" s="11"/>
      <c r="G229" s="11"/>
    </row>
    <row r="230" spans="1:7" x14ac:dyDescent="0.2">
      <c r="A230" s="10" t="s">
        <v>11</v>
      </c>
      <c r="B230" s="10" t="s">
        <v>290</v>
      </c>
      <c r="C230" s="10">
        <v>4</v>
      </c>
      <c r="D230" s="10">
        <v>1</v>
      </c>
      <c r="E230" s="10">
        <v>0.5</v>
      </c>
      <c r="F230" s="10">
        <v>81002.427499999903</v>
      </c>
      <c r="G230" s="10">
        <v>38.42</v>
      </c>
    </row>
    <row r="231" spans="1:7" x14ac:dyDescent="0.2">
      <c r="A231" s="10" t="s">
        <v>11</v>
      </c>
      <c r="B231" s="10" t="s">
        <v>290</v>
      </c>
      <c r="C231" s="10">
        <v>6</v>
      </c>
      <c r="D231" s="10">
        <v>2</v>
      </c>
      <c r="E231" s="10">
        <v>0.5</v>
      </c>
      <c r="F231" s="10">
        <v>148925.73499999</v>
      </c>
      <c r="G231" s="10">
        <v>3672.64</v>
      </c>
    </row>
    <row r="232" spans="1:7" x14ac:dyDescent="0.2">
      <c r="A232" s="10" t="s">
        <v>11</v>
      </c>
      <c r="B232" s="10" t="s">
        <v>290</v>
      </c>
      <c r="C232" s="10">
        <v>8</v>
      </c>
      <c r="D232" s="10">
        <v>3</v>
      </c>
      <c r="E232" s="10">
        <v>0.5</v>
      </c>
      <c r="F232" s="10">
        <v>230947.819935632</v>
      </c>
      <c r="G232" s="10">
        <v>3689.91</v>
      </c>
    </row>
    <row r="233" spans="1:7" x14ac:dyDescent="0.2">
      <c r="A233" s="10" t="s">
        <v>11</v>
      </c>
      <c r="B233" s="10" t="s">
        <v>290</v>
      </c>
      <c r="C233" s="10">
        <v>10</v>
      </c>
      <c r="D233" s="10">
        <v>3</v>
      </c>
      <c r="E233" s="10">
        <v>0.5</v>
      </c>
      <c r="F233" s="11" t="s">
        <v>15</v>
      </c>
      <c r="G233" s="10" t="s">
        <v>32</v>
      </c>
    </row>
    <row r="234" spans="1:7" x14ac:dyDescent="0.2">
      <c r="A234" s="10" t="s">
        <v>11</v>
      </c>
      <c r="B234" s="10" t="s">
        <v>290</v>
      </c>
      <c r="C234" s="10">
        <v>12</v>
      </c>
      <c r="D234" s="10">
        <v>4</v>
      </c>
      <c r="E234" s="10">
        <v>0.5</v>
      </c>
      <c r="F234" s="11" t="s">
        <v>15</v>
      </c>
      <c r="G234" s="10" t="s">
        <v>32</v>
      </c>
    </row>
    <row r="235" spans="1:7" x14ac:dyDescent="0.2">
      <c r="A235" s="10" t="s">
        <v>11</v>
      </c>
      <c r="B235" s="10" t="s">
        <v>290</v>
      </c>
      <c r="C235" s="10">
        <v>14</v>
      </c>
      <c r="D235" s="10">
        <v>4</v>
      </c>
      <c r="E235" s="10">
        <v>0.5</v>
      </c>
      <c r="F235" s="11" t="s">
        <v>15</v>
      </c>
      <c r="G235" s="10" t="s">
        <v>32</v>
      </c>
    </row>
    <row r="236" spans="1:7" x14ac:dyDescent="0.2">
      <c r="A236" s="10" t="s">
        <v>11</v>
      </c>
      <c r="B236" s="10" t="s">
        <v>290</v>
      </c>
      <c r="C236" s="10">
        <v>16</v>
      </c>
      <c r="D236" s="10">
        <v>5</v>
      </c>
      <c r="E236" s="10">
        <v>0.5</v>
      </c>
      <c r="F236" s="11" t="s">
        <v>15</v>
      </c>
      <c r="G236" s="10" t="s">
        <v>32</v>
      </c>
    </row>
    <row r="237" spans="1:7" x14ac:dyDescent="0.2">
      <c r="A237" s="10"/>
      <c r="B237" s="10"/>
      <c r="C237" s="10"/>
      <c r="D237" s="10"/>
      <c r="E237" s="10"/>
      <c r="F237" s="11"/>
      <c r="G237" s="11"/>
    </row>
    <row r="238" spans="1:7" x14ac:dyDescent="0.2">
      <c r="A238" s="10" t="s">
        <v>11</v>
      </c>
      <c r="B238" s="10" t="s">
        <v>290</v>
      </c>
      <c r="C238" s="10">
        <v>4</v>
      </c>
      <c r="D238" s="10">
        <v>1</v>
      </c>
      <c r="E238" s="10">
        <v>0.3</v>
      </c>
      <c r="F238" s="10">
        <v>101863.24254999901</v>
      </c>
      <c r="G238" s="10">
        <v>56.37</v>
      </c>
    </row>
    <row r="239" spans="1:7" x14ac:dyDescent="0.2">
      <c r="A239" s="10" t="s">
        <v>11</v>
      </c>
      <c r="B239" s="10" t="s">
        <v>290</v>
      </c>
      <c r="C239" s="10">
        <v>6</v>
      </c>
      <c r="D239" s="10">
        <v>2</v>
      </c>
      <c r="E239" s="10">
        <v>0.3</v>
      </c>
      <c r="F239" s="10">
        <v>213241.46199979199</v>
      </c>
      <c r="G239" s="10">
        <v>3638.8</v>
      </c>
    </row>
    <row r="240" spans="1:7" x14ac:dyDescent="0.2">
      <c r="A240" s="10" t="s">
        <v>11</v>
      </c>
      <c r="B240" s="10" t="s">
        <v>290</v>
      </c>
      <c r="C240" s="10">
        <v>8</v>
      </c>
      <c r="D240" s="10">
        <v>3</v>
      </c>
      <c r="E240" s="10">
        <v>0.3</v>
      </c>
      <c r="F240" s="11" t="s">
        <v>15</v>
      </c>
      <c r="G240" s="10" t="s">
        <v>32</v>
      </c>
    </row>
    <row r="241" spans="1:7" x14ac:dyDescent="0.2">
      <c r="A241" s="10" t="s">
        <v>11</v>
      </c>
      <c r="B241" s="10" t="s">
        <v>290</v>
      </c>
      <c r="C241" s="10">
        <v>10</v>
      </c>
      <c r="D241" s="10">
        <v>3</v>
      </c>
      <c r="E241" s="10">
        <v>0.3</v>
      </c>
      <c r="F241" s="11" t="s">
        <v>15</v>
      </c>
      <c r="G241" s="10" t="s">
        <v>32</v>
      </c>
    </row>
    <row r="242" spans="1:7" x14ac:dyDescent="0.2">
      <c r="A242" s="10" t="s">
        <v>11</v>
      </c>
      <c r="B242" s="10" t="s">
        <v>290</v>
      </c>
      <c r="C242" s="10">
        <v>12</v>
      </c>
      <c r="D242" s="10">
        <v>4</v>
      </c>
      <c r="E242" s="10">
        <v>0.3</v>
      </c>
      <c r="F242" s="11" t="s">
        <v>15</v>
      </c>
      <c r="G242" s="10" t="s">
        <v>32</v>
      </c>
    </row>
    <row r="243" spans="1:7" x14ac:dyDescent="0.2">
      <c r="A243" s="10" t="s">
        <v>11</v>
      </c>
      <c r="B243" s="10" t="s">
        <v>290</v>
      </c>
      <c r="C243" s="10">
        <v>14</v>
      </c>
      <c r="D243" s="10">
        <v>4</v>
      </c>
      <c r="E243" s="10">
        <v>0.3</v>
      </c>
      <c r="F243" s="11" t="s">
        <v>15</v>
      </c>
      <c r="G243" s="10" t="s">
        <v>32</v>
      </c>
    </row>
    <row r="244" spans="1:7" x14ac:dyDescent="0.2">
      <c r="A244" s="10" t="s">
        <v>11</v>
      </c>
      <c r="B244" s="10" t="s">
        <v>290</v>
      </c>
      <c r="C244" s="10">
        <v>16</v>
      </c>
      <c r="D244" s="10">
        <v>5</v>
      </c>
      <c r="E244" s="10">
        <v>0.3</v>
      </c>
      <c r="F244" s="11" t="s">
        <v>15</v>
      </c>
      <c r="G244" s="10" t="s">
        <v>32</v>
      </c>
    </row>
    <row r="245" spans="1:7" x14ac:dyDescent="0.2">
      <c r="A245" s="10"/>
      <c r="B245" s="10"/>
      <c r="C245" s="10"/>
      <c r="D245" s="10"/>
      <c r="E245" s="10"/>
      <c r="F245" s="10"/>
      <c r="G245" s="10"/>
    </row>
    <row r="246" spans="1:7" x14ac:dyDescent="0.2">
      <c r="A246" s="10" t="s">
        <v>12</v>
      </c>
      <c r="B246" s="10" t="s">
        <v>290</v>
      </c>
      <c r="C246" s="10">
        <v>4</v>
      </c>
      <c r="D246" s="10">
        <v>2</v>
      </c>
      <c r="E246" s="10">
        <v>1</v>
      </c>
      <c r="F246" s="10">
        <v>103982.22</v>
      </c>
      <c r="G246" s="10">
        <v>63.71</v>
      </c>
    </row>
    <row r="247" spans="1:7" x14ac:dyDescent="0.2">
      <c r="A247" s="10" t="s">
        <v>12</v>
      </c>
      <c r="B247" s="10" t="s">
        <v>290</v>
      </c>
      <c r="C247" s="10">
        <v>6</v>
      </c>
      <c r="D247" s="10">
        <v>2</v>
      </c>
      <c r="E247" s="10">
        <v>1</v>
      </c>
      <c r="F247" s="10">
        <v>114277.151760451</v>
      </c>
      <c r="G247" s="10">
        <v>276.01</v>
      </c>
    </row>
    <row r="248" spans="1:7" x14ac:dyDescent="0.2">
      <c r="A248" s="10" t="s">
        <v>12</v>
      </c>
      <c r="B248" s="10" t="s">
        <v>290</v>
      </c>
      <c r="C248" s="10">
        <v>8</v>
      </c>
      <c r="D248" s="10">
        <v>3</v>
      </c>
      <c r="E248" s="10">
        <v>1</v>
      </c>
      <c r="F248" s="10">
        <v>173841.003897624</v>
      </c>
      <c r="G248" s="10">
        <v>1318.29</v>
      </c>
    </row>
    <row r="249" spans="1:7" x14ac:dyDescent="0.2">
      <c r="A249" s="10" t="s">
        <v>12</v>
      </c>
      <c r="B249" s="10" t="s">
        <v>290</v>
      </c>
      <c r="C249" s="10">
        <v>10</v>
      </c>
      <c r="D249" s="10">
        <v>3</v>
      </c>
      <c r="E249" s="10">
        <v>1</v>
      </c>
      <c r="F249" s="10">
        <v>217044.90805499899</v>
      </c>
      <c r="G249" s="10">
        <v>3734.34</v>
      </c>
    </row>
    <row r="250" spans="1:7" x14ac:dyDescent="0.2">
      <c r="A250" s="10" t="s">
        <v>12</v>
      </c>
      <c r="B250" s="10" t="s">
        <v>290</v>
      </c>
      <c r="C250" s="10">
        <v>12</v>
      </c>
      <c r="D250" s="10">
        <v>4</v>
      </c>
      <c r="E250" s="10">
        <v>1</v>
      </c>
      <c r="F250" s="10">
        <v>287857.54821999802</v>
      </c>
      <c r="G250" s="10">
        <v>3809.45</v>
      </c>
    </row>
    <row r="251" spans="1:7" x14ac:dyDescent="0.2">
      <c r="A251" s="10" t="s">
        <v>12</v>
      </c>
      <c r="B251" s="10" t="s">
        <v>290</v>
      </c>
      <c r="C251" s="10">
        <v>14</v>
      </c>
      <c r="D251" s="10">
        <v>4</v>
      </c>
      <c r="E251" s="10">
        <v>1</v>
      </c>
      <c r="F251" s="10">
        <v>265981.83610999997</v>
      </c>
      <c r="G251" s="10">
        <v>3931.71</v>
      </c>
    </row>
    <row r="252" spans="1:7" x14ac:dyDescent="0.2">
      <c r="A252" s="10" t="s">
        <v>12</v>
      </c>
      <c r="B252" s="10" t="s">
        <v>290</v>
      </c>
      <c r="C252" s="10">
        <v>16</v>
      </c>
      <c r="D252" s="10">
        <v>5</v>
      </c>
      <c r="E252" s="10">
        <v>1</v>
      </c>
      <c r="F252" s="11" t="s">
        <v>15</v>
      </c>
      <c r="G252" s="10" t="s">
        <v>32</v>
      </c>
    </row>
    <row r="253" spans="1:7" x14ac:dyDescent="0.2">
      <c r="A253" s="10"/>
      <c r="B253" s="10"/>
      <c r="C253" s="10"/>
      <c r="D253" s="10"/>
      <c r="E253" s="10"/>
      <c r="F253" s="11"/>
      <c r="G253" s="10"/>
    </row>
    <row r="254" spans="1:7" x14ac:dyDescent="0.2">
      <c r="A254" s="10" t="s">
        <v>12</v>
      </c>
      <c r="B254" s="10" t="s">
        <v>290</v>
      </c>
      <c r="C254" s="10">
        <v>4</v>
      </c>
      <c r="D254" s="10">
        <v>2</v>
      </c>
      <c r="E254" s="10">
        <v>0.5</v>
      </c>
      <c r="F254" s="10">
        <v>138374.396249999</v>
      </c>
      <c r="G254" s="10">
        <v>185.93</v>
      </c>
    </row>
    <row r="255" spans="1:7" x14ac:dyDescent="0.2">
      <c r="A255" s="10" t="s">
        <v>12</v>
      </c>
      <c r="B255" s="10" t="s">
        <v>290</v>
      </c>
      <c r="C255" s="10">
        <v>6</v>
      </c>
      <c r="D255" s="10">
        <v>2</v>
      </c>
      <c r="E255" s="10">
        <v>0.5</v>
      </c>
      <c r="F255" s="10">
        <v>145193.07049999901</v>
      </c>
      <c r="G255" s="10">
        <v>2517.15</v>
      </c>
    </row>
    <row r="256" spans="1:7" x14ac:dyDescent="0.2">
      <c r="A256" s="10" t="s">
        <v>12</v>
      </c>
      <c r="B256" s="10" t="s">
        <v>290</v>
      </c>
      <c r="C256" s="10">
        <v>8</v>
      </c>
      <c r="D256" s="10">
        <v>3</v>
      </c>
      <c r="E256" s="10">
        <v>0.5</v>
      </c>
      <c r="F256" s="10">
        <v>233230.59899998299</v>
      </c>
      <c r="G256" s="10">
        <v>3696.23</v>
      </c>
    </row>
    <row r="257" spans="1:7" x14ac:dyDescent="0.2">
      <c r="A257" s="10" t="s">
        <v>12</v>
      </c>
      <c r="B257" s="10" t="s">
        <v>290</v>
      </c>
      <c r="C257" s="10">
        <v>10</v>
      </c>
      <c r="D257" s="10">
        <v>3</v>
      </c>
      <c r="E257" s="10">
        <v>0.5</v>
      </c>
      <c r="F257" s="11" t="s">
        <v>15</v>
      </c>
      <c r="G257" s="10" t="s">
        <v>32</v>
      </c>
    </row>
    <row r="258" spans="1:7" x14ac:dyDescent="0.2">
      <c r="A258" s="10" t="s">
        <v>12</v>
      </c>
      <c r="B258" s="10" t="s">
        <v>290</v>
      </c>
      <c r="C258" s="10">
        <v>12</v>
      </c>
      <c r="D258" s="10">
        <v>4</v>
      </c>
      <c r="E258" s="10">
        <v>0.5</v>
      </c>
      <c r="F258" s="11" t="s">
        <v>15</v>
      </c>
      <c r="G258" s="10" t="s">
        <v>32</v>
      </c>
    </row>
    <row r="259" spans="1:7" x14ac:dyDescent="0.2">
      <c r="A259" s="10" t="s">
        <v>12</v>
      </c>
      <c r="B259" s="10" t="s">
        <v>290</v>
      </c>
      <c r="C259" s="10">
        <v>14</v>
      </c>
      <c r="D259" s="10">
        <v>4</v>
      </c>
      <c r="E259" s="10">
        <v>0.5</v>
      </c>
      <c r="F259" s="11" t="s">
        <v>15</v>
      </c>
      <c r="G259" s="10" t="s">
        <v>32</v>
      </c>
    </row>
    <row r="260" spans="1:7" x14ac:dyDescent="0.2">
      <c r="A260" s="10" t="s">
        <v>12</v>
      </c>
      <c r="B260" s="10" t="s">
        <v>290</v>
      </c>
      <c r="C260" s="10">
        <v>16</v>
      </c>
      <c r="D260" s="10">
        <v>5</v>
      </c>
      <c r="E260" s="10">
        <v>0.5</v>
      </c>
      <c r="F260" s="11" t="s">
        <v>15</v>
      </c>
      <c r="G260" s="10" t="s">
        <v>32</v>
      </c>
    </row>
    <row r="261" spans="1:7" x14ac:dyDescent="0.2">
      <c r="A261" s="10"/>
      <c r="B261" s="10"/>
      <c r="C261" s="10"/>
      <c r="D261" s="10"/>
      <c r="E261" s="10"/>
      <c r="F261" s="11"/>
      <c r="G261" s="10"/>
    </row>
    <row r="262" spans="1:7" x14ac:dyDescent="0.2">
      <c r="A262" s="10" t="s">
        <v>12</v>
      </c>
      <c r="B262" s="10" t="s">
        <v>290</v>
      </c>
      <c r="C262" s="10">
        <v>4</v>
      </c>
      <c r="D262" s="10">
        <v>2</v>
      </c>
      <c r="E262" s="10">
        <v>0.3</v>
      </c>
      <c r="F262" s="10">
        <v>171236.473549991</v>
      </c>
      <c r="G262" s="10">
        <v>206.32</v>
      </c>
    </row>
    <row r="263" spans="1:7" x14ac:dyDescent="0.2">
      <c r="A263" s="10" t="s">
        <v>12</v>
      </c>
      <c r="B263" s="10" t="s">
        <v>290</v>
      </c>
      <c r="C263" s="10">
        <v>6</v>
      </c>
      <c r="D263" s="10">
        <v>2</v>
      </c>
      <c r="E263" s="10">
        <v>0.3</v>
      </c>
      <c r="F263" s="10">
        <v>179141.15257319299</v>
      </c>
      <c r="G263" s="10">
        <v>2774.83</v>
      </c>
    </row>
    <row r="264" spans="1:7" x14ac:dyDescent="0.2">
      <c r="A264" s="10" t="s">
        <v>12</v>
      </c>
      <c r="B264" s="10" t="s">
        <v>290</v>
      </c>
      <c r="C264" s="10">
        <v>8</v>
      </c>
      <c r="D264" s="10">
        <v>3</v>
      </c>
      <c r="E264" s="10">
        <v>0.3</v>
      </c>
      <c r="F264" s="11" t="s">
        <v>15</v>
      </c>
      <c r="G264" s="10" t="s">
        <v>32</v>
      </c>
    </row>
    <row r="265" spans="1:7" x14ac:dyDescent="0.2">
      <c r="A265" s="10" t="s">
        <v>12</v>
      </c>
      <c r="B265" s="10" t="s">
        <v>290</v>
      </c>
      <c r="C265" s="10">
        <v>10</v>
      </c>
      <c r="D265" s="10" t="s">
        <v>25</v>
      </c>
      <c r="E265" s="10">
        <v>0.3</v>
      </c>
      <c r="F265" s="11" t="s">
        <v>15</v>
      </c>
      <c r="G265" s="10" t="s">
        <v>32</v>
      </c>
    </row>
    <row r="266" spans="1:7" x14ac:dyDescent="0.2">
      <c r="A266" s="10" t="s">
        <v>12</v>
      </c>
      <c r="B266" s="10" t="s">
        <v>290</v>
      </c>
      <c r="C266" s="10">
        <v>12</v>
      </c>
      <c r="D266" s="10">
        <v>4</v>
      </c>
      <c r="E266" s="10">
        <v>0.3</v>
      </c>
      <c r="F266" s="11" t="s">
        <v>15</v>
      </c>
      <c r="G266" s="10" t="s">
        <v>32</v>
      </c>
    </row>
    <row r="267" spans="1:7" x14ac:dyDescent="0.2">
      <c r="A267" s="10" t="s">
        <v>12</v>
      </c>
      <c r="B267" s="10" t="s">
        <v>290</v>
      </c>
      <c r="C267" s="10">
        <v>14</v>
      </c>
      <c r="D267" s="10">
        <v>4</v>
      </c>
      <c r="E267" s="10">
        <v>0.3</v>
      </c>
      <c r="F267" s="11" t="s">
        <v>15</v>
      </c>
      <c r="G267" s="10" t="s">
        <v>32</v>
      </c>
    </row>
    <row r="268" spans="1:7" x14ac:dyDescent="0.2">
      <c r="A268" s="10" t="s">
        <v>12</v>
      </c>
      <c r="B268" s="10" t="s">
        <v>290</v>
      </c>
      <c r="C268" s="10">
        <v>16</v>
      </c>
      <c r="D268" s="10">
        <v>5</v>
      </c>
      <c r="E268" s="10">
        <v>0.3</v>
      </c>
      <c r="F268" s="11" t="s">
        <v>15</v>
      </c>
      <c r="G268" s="10" t="s">
        <v>32</v>
      </c>
    </row>
    <row r="269" spans="1:7" x14ac:dyDescent="0.2">
      <c r="A269" s="10"/>
      <c r="B269" s="10"/>
      <c r="C269" s="10"/>
      <c r="D269" s="10"/>
      <c r="E269" s="10"/>
      <c r="F269" s="10"/>
      <c r="G269" s="10"/>
    </row>
    <row r="270" spans="1:7" x14ac:dyDescent="0.2">
      <c r="A270" s="10" t="s">
        <v>13</v>
      </c>
      <c r="B270" s="10" t="s">
        <v>290</v>
      </c>
      <c r="C270" s="10">
        <v>4</v>
      </c>
      <c r="D270" s="10">
        <v>2</v>
      </c>
      <c r="E270" s="10">
        <v>1</v>
      </c>
      <c r="F270" s="10">
        <v>101388.564</v>
      </c>
      <c r="G270" s="10">
        <v>169.12</v>
      </c>
    </row>
    <row r="271" spans="1:7" x14ac:dyDescent="0.2">
      <c r="A271" s="10" t="s">
        <v>13</v>
      </c>
      <c r="B271" s="10" t="s">
        <v>290</v>
      </c>
      <c r="C271" s="10">
        <v>6</v>
      </c>
      <c r="D271" s="10">
        <v>3</v>
      </c>
      <c r="E271" s="10">
        <v>1</v>
      </c>
      <c r="F271" s="10">
        <v>163685.075936451</v>
      </c>
      <c r="G271" s="10">
        <v>1790.85</v>
      </c>
    </row>
    <row r="272" spans="1:7" x14ac:dyDescent="0.2">
      <c r="A272" s="10" t="s">
        <v>13</v>
      </c>
      <c r="B272" s="10" t="s">
        <v>290</v>
      </c>
      <c r="C272" s="10">
        <v>8</v>
      </c>
      <c r="D272" s="10">
        <v>3</v>
      </c>
      <c r="E272" s="10">
        <v>1</v>
      </c>
      <c r="F272" s="10">
        <v>193503.26399999901</v>
      </c>
      <c r="G272" s="10">
        <v>3709.78</v>
      </c>
    </row>
    <row r="273" spans="1:7" x14ac:dyDescent="0.2">
      <c r="A273" s="10" t="s">
        <v>13</v>
      </c>
      <c r="B273" s="10" t="s">
        <v>290</v>
      </c>
      <c r="C273" s="10">
        <v>10</v>
      </c>
      <c r="D273" s="10">
        <v>4</v>
      </c>
      <c r="E273" s="10">
        <v>1</v>
      </c>
      <c r="F273" s="11" t="s">
        <v>15</v>
      </c>
      <c r="G273" s="10" t="s">
        <v>32</v>
      </c>
    </row>
    <row r="274" spans="1:7" x14ac:dyDescent="0.2">
      <c r="A274" s="10" t="s">
        <v>13</v>
      </c>
      <c r="B274" s="10" t="s">
        <v>290</v>
      </c>
      <c r="C274" s="10">
        <v>12</v>
      </c>
      <c r="D274" s="10">
        <v>4</v>
      </c>
      <c r="E274" s="10">
        <v>1</v>
      </c>
      <c r="F274" s="10">
        <v>323717.37256840902</v>
      </c>
      <c r="G274" s="10">
        <v>3844.08</v>
      </c>
    </row>
    <row r="275" spans="1:7" x14ac:dyDescent="0.2">
      <c r="A275" s="10" t="s">
        <v>13</v>
      </c>
      <c r="B275" s="10" t="s">
        <v>290</v>
      </c>
      <c r="C275" s="10">
        <v>14</v>
      </c>
      <c r="D275" s="10">
        <v>5</v>
      </c>
      <c r="E275" s="10">
        <v>1</v>
      </c>
      <c r="F275" s="11" t="s">
        <v>15</v>
      </c>
      <c r="G275" s="10" t="s">
        <v>32</v>
      </c>
    </row>
    <row r="276" spans="1:7" x14ac:dyDescent="0.2">
      <c r="A276" s="10" t="s">
        <v>13</v>
      </c>
      <c r="B276" s="10" t="s">
        <v>290</v>
      </c>
      <c r="C276" s="10">
        <v>16</v>
      </c>
      <c r="D276" s="10">
        <v>5</v>
      </c>
      <c r="E276" s="10">
        <v>1</v>
      </c>
      <c r="F276" s="11" t="s">
        <v>15</v>
      </c>
      <c r="G276" s="10" t="s">
        <v>32</v>
      </c>
    </row>
    <row r="277" spans="1:7" x14ac:dyDescent="0.2">
      <c r="A277" s="10"/>
      <c r="B277" s="10"/>
      <c r="C277" s="10"/>
      <c r="D277" s="10"/>
      <c r="E277" s="10"/>
      <c r="F277" s="10"/>
      <c r="G277" s="10"/>
    </row>
    <row r="278" spans="1:7" x14ac:dyDescent="0.2">
      <c r="A278" s="10" t="s">
        <v>13</v>
      </c>
      <c r="B278" s="10" t="s">
        <v>290</v>
      </c>
      <c r="C278" s="10">
        <v>4</v>
      </c>
      <c r="D278" s="10">
        <v>2</v>
      </c>
      <c r="E278" s="10">
        <v>0.5</v>
      </c>
      <c r="F278" s="10">
        <v>150498.93998447899</v>
      </c>
      <c r="G278" s="10">
        <v>876.03</v>
      </c>
    </row>
    <row r="279" spans="1:7" x14ac:dyDescent="0.2">
      <c r="A279" s="10" t="s">
        <v>13</v>
      </c>
      <c r="B279" s="10" t="s">
        <v>290</v>
      </c>
      <c r="C279" s="10">
        <v>6</v>
      </c>
      <c r="D279" s="10">
        <v>3</v>
      </c>
      <c r="E279" s="10">
        <v>0.5</v>
      </c>
      <c r="F279" s="10">
        <v>238491.982999992</v>
      </c>
      <c r="G279" s="10">
        <v>3649</v>
      </c>
    </row>
    <row r="280" spans="1:7" x14ac:dyDescent="0.2">
      <c r="A280" s="10" t="s">
        <v>13</v>
      </c>
      <c r="B280" s="10" t="s">
        <v>290</v>
      </c>
      <c r="C280" s="10">
        <v>8</v>
      </c>
      <c r="D280" s="10">
        <v>3</v>
      </c>
      <c r="E280" s="10">
        <v>0.5</v>
      </c>
      <c r="F280" s="11" t="s">
        <v>15</v>
      </c>
      <c r="G280" s="10" t="s">
        <v>32</v>
      </c>
    </row>
    <row r="281" spans="1:7" x14ac:dyDescent="0.2">
      <c r="A281" s="10" t="s">
        <v>13</v>
      </c>
      <c r="B281" s="10" t="s">
        <v>290</v>
      </c>
      <c r="C281" s="10">
        <v>10</v>
      </c>
      <c r="D281" s="10">
        <v>4</v>
      </c>
      <c r="E281" s="10">
        <v>0.5</v>
      </c>
      <c r="F281" s="11" t="s">
        <v>15</v>
      </c>
      <c r="G281" s="10" t="s">
        <v>32</v>
      </c>
    </row>
    <row r="282" spans="1:7" x14ac:dyDescent="0.2">
      <c r="A282" s="10" t="s">
        <v>13</v>
      </c>
      <c r="B282" s="10" t="s">
        <v>290</v>
      </c>
      <c r="C282" s="10">
        <v>12</v>
      </c>
      <c r="D282" s="10">
        <v>4</v>
      </c>
      <c r="E282" s="10">
        <v>0.5</v>
      </c>
      <c r="F282" s="11" t="s">
        <v>15</v>
      </c>
      <c r="G282" s="10" t="s">
        <v>32</v>
      </c>
    </row>
    <row r="283" spans="1:7" x14ac:dyDescent="0.2">
      <c r="A283" s="10" t="s">
        <v>13</v>
      </c>
      <c r="B283" s="10" t="s">
        <v>290</v>
      </c>
      <c r="C283" s="10">
        <v>14</v>
      </c>
      <c r="D283" s="10">
        <v>5</v>
      </c>
      <c r="E283" s="10">
        <v>0.5</v>
      </c>
      <c r="F283" s="11" t="s">
        <v>15</v>
      </c>
      <c r="G283" s="10" t="s">
        <v>32</v>
      </c>
    </row>
    <row r="284" spans="1:7" x14ac:dyDescent="0.2">
      <c r="A284" s="10" t="s">
        <v>13</v>
      </c>
      <c r="B284" s="10" t="s">
        <v>290</v>
      </c>
      <c r="C284" s="10">
        <v>16</v>
      </c>
      <c r="D284" s="10">
        <v>5</v>
      </c>
      <c r="E284" s="10">
        <v>0.5</v>
      </c>
      <c r="F284" s="11" t="s">
        <v>15</v>
      </c>
      <c r="G284" s="10" t="s">
        <v>32</v>
      </c>
    </row>
    <row r="285" spans="1:7" x14ac:dyDescent="0.2">
      <c r="A285" s="10"/>
      <c r="B285" s="10"/>
      <c r="C285" s="10"/>
      <c r="D285" s="10"/>
      <c r="E285" s="10"/>
      <c r="F285" s="10"/>
      <c r="G285" s="10"/>
    </row>
    <row r="286" spans="1:7" x14ac:dyDescent="0.2">
      <c r="A286" s="10" t="s">
        <v>13</v>
      </c>
      <c r="B286" s="10" t="s">
        <v>290</v>
      </c>
      <c r="C286" s="10">
        <v>4</v>
      </c>
      <c r="D286" s="10">
        <v>2</v>
      </c>
      <c r="E286" s="10">
        <v>0.3</v>
      </c>
      <c r="F286" s="11" t="s">
        <v>15</v>
      </c>
      <c r="G286" s="10" t="s">
        <v>32</v>
      </c>
    </row>
    <row r="287" spans="1:7" x14ac:dyDescent="0.2">
      <c r="A287" s="10" t="s">
        <v>13</v>
      </c>
      <c r="B287" s="10" t="s">
        <v>290</v>
      </c>
      <c r="C287" s="10">
        <v>6</v>
      </c>
      <c r="D287" s="10">
        <v>3</v>
      </c>
      <c r="E287" s="10">
        <v>0.3</v>
      </c>
      <c r="F287" s="11" t="s">
        <v>15</v>
      </c>
      <c r="G287" s="10" t="s">
        <v>32</v>
      </c>
    </row>
    <row r="288" spans="1:7" x14ac:dyDescent="0.2">
      <c r="A288" s="10" t="s">
        <v>13</v>
      </c>
      <c r="B288" s="10" t="s">
        <v>290</v>
      </c>
      <c r="C288" s="10">
        <v>8</v>
      </c>
      <c r="D288" s="10">
        <v>3</v>
      </c>
      <c r="E288" s="10">
        <v>0.3</v>
      </c>
      <c r="F288" s="11" t="s">
        <v>15</v>
      </c>
      <c r="G288" s="10" t="s">
        <v>32</v>
      </c>
    </row>
    <row r="289" spans="1:7" x14ac:dyDescent="0.2">
      <c r="A289" s="10" t="s">
        <v>13</v>
      </c>
      <c r="B289" s="10" t="s">
        <v>290</v>
      </c>
      <c r="C289" s="10">
        <v>10</v>
      </c>
      <c r="D289" s="10">
        <v>4</v>
      </c>
      <c r="E289" s="10">
        <v>0.3</v>
      </c>
      <c r="F289" s="11" t="s">
        <v>15</v>
      </c>
      <c r="G289" s="10" t="s">
        <v>32</v>
      </c>
    </row>
    <row r="290" spans="1:7" x14ac:dyDescent="0.2">
      <c r="A290" s="10" t="s">
        <v>13</v>
      </c>
      <c r="B290" s="10" t="s">
        <v>290</v>
      </c>
      <c r="C290" s="10">
        <v>12</v>
      </c>
      <c r="D290" s="10">
        <v>4</v>
      </c>
      <c r="E290" s="10">
        <v>0.3</v>
      </c>
      <c r="F290" s="11" t="s">
        <v>15</v>
      </c>
      <c r="G290" s="10" t="s">
        <v>32</v>
      </c>
    </row>
    <row r="291" spans="1:7" x14ac:dyDescent="0.2">
      <c r="A291" s="10" t="s">
        <v>13</v>
      </c>
      <c r="B291" s="10" t="s">
        <v>290</v>
      </c>
      <c r="C291" s="10">
        <v>14</v>
      </c>
      <c r="D291" s="10">
        <v>5</v>
      </c>
      <c r="E291" s="10">
        <v>0.3</v>
      </c>
      <c r="F291" s="11" t="s">
        <v>15</v>
      </c>
      <c r="G291" s="10" t="s">
        <v>32</v>
      </c>
    </row>
    <row r="292" spans="1:7" x14ac:dyDescent="0.2">
      <c r="A292" s="10" t="s">
        <v>13</v>
      </c>
      <c r="B292" s="10" t="s">
        <v>290</v>
      </c>
      <c r="C292" s="10">
        <v>16</v>
      </c>
      <c r="D292" s="10">
        <v>5</v>
      </c>
      <c r="E292" s="10">
        <v>0.3</v>
      </c>
      <c r="F292" s="11" t="s">
        <v>15</v>
      </c>
      <c r="G292" s="10" t="s">
        <v>32</v>
      </c>
    </row>
    <row r="293" spans="1:7" x14ac:dyDescent="0.2">
      <c r="A293" s="10"/>
      <c r="B293" s="10"/>
      <c r="C293" s="10"/>
      <c r="D293" s="10"/>
      <c r="E293" s="10"/>
      <c r="F293" s="10"/>
      <c r="G293" s="10"/>
    </row>
    <row r="294" spans="1:7" x14ac:dyDescent="0.2">
      <c r="A294" s="12" t="s">
        <v>31</v>
      </c>
      <c r="B294" s="10"/>
      <c r="C294" s="10"/>
      <c r="D294" s="10"/>
      <c r="E294" s="10"/>
      <c r="F294" s="10"/>
      <c r="G294" s="10"/>
    </row>
    <row r="295" spans="1:7" x14ac:dyDescent="0.2">
      <c r="A295" s="10"/>
      <c r="B295" s="10"/>
      <c r="C295" s="10"/>
      <c r="D295" s="10"/>
      <c r="E295" s="10"/>
      <c r="F295" s="10"/>
      <c r="G295" s="10"/>
    </row>
    <row r="296" spans="1:7" x14ac:dyDescent="0.2">
      <c r="A296" s="10" t="s">
        <v>9</v>
      </c>
      <c r="B296" s="10" t="s">
        <v>288</v>
      </c>
      <c r="C296" s="10">
        <v>4</v>
      </c>
      <c r="D296" s="10">
        <v>2</v>
      </c>
      <c r="E296" s="10">
        <v>1</v>
      </c>
      <c r="F296" s="10">
        <v>45047.159999999902</v>
      </c>
      <c r="G296" s="10">
        <v>135.13999999999999</v>
      </c>
    </row>
    <row r="297" spans="1:7" x14ac:dyDescent="0.2">
      <c r="A297" s="10" t="s">
        <v>9</v>
      </c>
      <c r="B297" s="10" t="s">
        <v>288</v>
      </c>
      <c r="C297" s="10">
        <v>6</v>
      </c>
      <c r="D297" s="10">
        <v>2</v>
      </c>
      <c r="E297" s="10">
        <v>1</v>
      </c>
      <c r="F297" s="10">
        <v>70318.980110000004</v>
      </c>
      <c r="G297" s="10">
        <v>2485.94</v>
      </c>
    </row>
    <row r="298" spans="1:7" x14ac:dyDescent="0.2">
      <c r="A298" s="10" t="s">
        <v>9</v>
      </c>
      <c r="B298" s="10" t="s">
        <v>288</v>
      </c>
      <c r="C298" s="10">
        <v>8</v>
      </c>
      <c r="D298" s="10">
        <v>3</v>
      </c>
      <c r="E298" s="10">
        <v>1</v>
      </c>
      <c r="F298" s="10">
        <v>99160.883999999904</v>
      </c>
      <c r="G298" s="10">
        <v>3649.09</v>
      </c>
    </row>
    <row r="299" spans="1:7" x14ac:dyDescent="0.2">
      <c r="A299" s="10" t="s">
        <v>9</v>
      </c>
      <c r="B299" s="10" t="s">
        <v>288</v>
      </c>
      <c r="C299" s="10">
        <v>10</v>
      </c>
      <c r="D299" s="10">
        <v>4</v>
      </c>
      <c r="E299" s="10">
        <v>1</v>
      </c>
      <c r="F299" s="10">
        <v>110868.135073023</v>
      </c>
      <c r="G299" s="10">
        <v>3688.9</v>
      </c>
    </row>
    <row r="300" spans="1:7" x14ac:dyDescent="0.2">
      <c r="A300" s="10" t="s">
        <v>9</v>
      </c>
      <c r="B300" s="10" t="s">
        <v>288</v>
      </c>
      <c r="C300" s="10">
        <v>12</v>
      </c>
      <c r="D300" s="10">
        <v>4</v>
      </c>
      <c r="E300" s="10">
        <v>1</v>
      </c>
      <c r="F300" s="10">
        <v>137502.372</v>
      </c>
      <c r="G300" s="10">
        <v>3748.3</v>
      </c>
    </row>
    <row r="301" spans="1:7" x14ac:dyDescent="0.2">
      <c r="A301" s="10" t="s">
        <v>9</v>
      </c>
      <c r="B301" s="10" t="s">
        <v>288</v>
      </c>
      <c r="C301" s="10">
        <v>14</v>
      </c>
      <c r="D301" s="10">
        <v>5</v>
      </c>
      <c r="E301" s="10">
        <v>1</v>
      </c>
      <c r="F301" s="10">
        <v>144548.484</v>
      </c>
      <c r="G301" s="10">
        <v>3787.61</v>
      </c>
    </row>
    <row r="302" spans="1:7" x14ac:dyDescent="0.2">
      <c r="A302" s="10" t="s">
        <v>9</v>
      </c>
      <c r="B302" s="10" t="s">
        <v>288</v>
      </c>
      <c r="C302" s="10">
        <v>16</v>
      </c>
      <c r="D302" s="10">
        <v>5</v>
      </c>
      <c r="E302" s="10">
        <v>1</v>
      </c>
      <c r="F302" s="10">
        <v>176004.02307403099</v>
      </c>
      <c r="G302" s="10">
        <v>3883.25</v>
      </c>
    </row>
    <row r="303" spans="1:7" x14ac:dyDescent="0.2">
      <c r="A303" s="10" t="s">
        <v>9</v>
      </c>
      <c r="B303" s="10" t="s">
        <v>288</v>
      </c>
      <c r="C303" s="10">
        <v>18</v>
      </c>
      <c r="D303" s="10">
        <v>6</v>
      </c>
      <c r="E303" s="10">
        <v>1</v>
      </c>
      <c r="F303" s="10">
        <v>209985.31477100399</v>
      </c>
      <c r="G303" s="10">
        <v>4032.14</v>
      </c>
    </row>
    <row r="304" spans="1:7" x14ac:dyDescent="0.2">
      <c r="A304" s="10" t="s">
        <v>9</v>
      </c>
      <c r="B304" s="10" t="s">
        <v>288</v>
      </c>
      <c r="C304" s="10">
        <v>20</v>
      </c>
      <c r="D304" s="10">
        <v>6</v>
      </c>
      <c r="E304" s="10">
        <v>1</v>
      </c>
      <c r="F304" s="10">
        <v>230663.399397473</v>
      </c>
      <c r="G304" s="10">
        <v>4127.28</v>
      </c>
    </row>
    <row r="305" spans="1:7" x14ac:dyDescent="0.2">
      <c r="A305" s="10" t="s">
        <v>9</v>
      </c>
      <c r="B305" s="10" t="s">
        <v>288</v>
      </c>
      <c r="C305" s="10">
        <v>22</v>
      </c>
      <c r="D305" s="10">
        <v>7</v>
      </c>
      <c r="E305" s="10">
        <v>1</v>
      </c>
      <c r="F305" s="11" t="s">
        <v>15</v>
      </c>
      <c r="G305" s="10" t="s">
        <v>32</v>
      </c>
    </row>
    <row r="306" spans="1:7" x14ac:dyDescent="0.2">
      <c r="A306" s="10"/>
      <c r="B306" s="10"/>
      <c r="C306" s="10"/>
      <c r="D306" s="10"/>
      <c r="E306" s="10"/>
      <c r="F306" s="11"/>
      <c r="G306" s="11"/>
    </row>
    <row r="307" spans="1:7" x14ac:dyDescent="0.2">
      <c r="A307" s="10" t="s">
        <v>9</v>
      </c>
      <c r="B307" s="10" t="s">
        <v>288</v>
      </c>
      <c r="C307" s="10">
        <v>4</v>
      </c>
      <c r="D307" s="10">
        <v>2</v>
      </c>
      <c r="E307" s="10">
        <v>0.5</v>
      </c>
      <c r="F307" s="10">
        <v>55370.467499999802</v>
      </c>
      <c r="G307" s="10">
        <v>445.78</v>
      </c>
    </row>
    <row r="308" spans="1:7" x14ac:dyDescent="0.2">
      <c r="A308" s="10" t="s">
        <v>9</v>
      </c>
      <c r="B308" s="10" t="s">
        <v>288</v>
      </c>
      <c r="C308" s="10">
        <v>6</v>
      </c>
      <c r="D308" s="10">
        <v>2</v>
      </c>
      <c r="E308" s="10">
        <v>0.5</v>
      </c>
      <c r="F308" s="10">
        <v>86433.743450001406</v>
      </c>
      <c r="G308" s="10">
        <v>3628.77</v>
      </c>
    </row>
    <row r="309" spans="1:7" x14ac:dyDescent="0.2">
      <c r="A309" s="10" t="s">
        <v>9</v>
      </c>
      <c r="B309" s="10" t="s">
        <v>288</v>
      </c>
      <c r="C309" s="10">
        <v>8</v>
      </c>
      <c r="D309" s="10">
        <v>3</v>
      </c>
      <c r="E309" s="10">
        <v>0.5</v>
      </c>
      <c r="F309" s="10">
        <v>126240.50049999901</v>
      </c>
      <c r="G309" s="10">
        <v>3644.13</v>
      </c>
    </row>
    <row r="310" spans="1:7" x14ac:dyDescent="0.2">
      <c r="A310" s="10" t="s">
        <v>9</v>
      </c>
      <c r="B310" s="10" t="s">
        <v>288</v>
      </c>
      <c r="C310" s="10">
        <v>10</v>
      </c>
      <c r="D310" s="10">
        <v>4</v>
      </c>
      <c r="E310" s="10">
        <v>0.5</v>
      </c>
      <c r="F310" s="10">
        <v>148029.14149999799</v>
      </c>
      <c r="G310" s="10">
        <v>3689.93</v>
      </c>
    </row>
    <row r="311" spans="1:7" x14ac:dyDescent="0.2">
      <c r="A311" s="10" t="s">
        <v>9</v>
      </c>
      <c r="B311" s="10" t="s">
        <v>288</v>
      </c>
      <c r="C311" s="10">
        <v>12</v>
      </c>
      <c r="D311" s="10">
        <v>4</v>
      </c>
      <c r="E311" s="10">
        <v>0.5</v>
      </c>
      <c r="F311" s="10">
        <v>175986.54217509099</v>
      </c>
      <c r="G311" s="10">
        <v>3746.31</v>
      </c>
    </row>
    <row r="312" spans="1:7" x14ac:dyDescent="0.2">
      <c r="A312" s="10" t="s">
        <v>9</v>
      </c>
      <c r="B312" s="10" t="s">
        <v>288</v>
      </c>
      <c r="C312" s="10">
        <v>14</v>
      </c>
      <c r="D312" s="10">
        <v>5</v>
      </c>
      <c r="E312" s="10">
        <v>0.5</v>
      </c>
      <c r="F312" s="11" t="s">
        <v>15</v>
      </c>
      <c r="G312" s="10" t="s">
        <v>32</v>
      </c>
    </row>
    <row r="313" spans="1:7" x14ac:dyDescent="0.2">
      <c r="A313" s="10" t="s">
        <v>9</v>
      </c>
      <c r="B313" s="10" t="s">
        <v>288</v>
      </c>
      <c r="C313" s="10">
        <v>16</v>
      </c>
      <c r="D313" s="10">
        <v>5</v>
      </c>
      <c r="E313" s="10">
        <v>0.5</v>
      </c>
      <c r="F313" s="10">
        <v>258857.76524999901</v>
      </c>
      <c r="G313" s="10">
        <v>3882.43</v>
      </c>
    </row>
    <row r="314" spans="1:7" x14ac:dyDescent="0.2">
      <c r="A314" s="10" t="s">
        <v>9</v>
      </c>
      <c r="B314" s="10" t="s">
        <v>288</v>
      </c>
      <c r="C314" s="10">
        <v>18</v>
      </c>
      <c r="D314" s="10">
        <v>6</v>
      </c>
      <c r="E314" s="10">
        <v>0.5</v>
      </c>
      <c r="F314" s="11" t="s">
        <v>15</v>
      </c>
      <c r="G314" s="10" t="s">
        <v>32</v>
      </c>
    </row>
    <row r="315" spans="1:7" x14ac:dyDescent="0.2">
      <c r="A315" s="10" t="s">
        <v>9</v>
      </c>
      <c r="B315" s="10" t="s">
        <v>288</v>
      </c>
      <c r="C315" s="10">
        <v>20</v>
      </c>
      <c r="D315" s="10">
        <v>6</v>
      </c>
      <c r="E315" s="10">
        <v>0.5</v>
      </c>
      <c r="F315" s="11" t="s">
        <v>15</v>
      </c>
      <c r="G315" s="10" t="s">
        <v>32</v>
      </c>
    </row>
    <row r="316" spans="1:7" x14ac:dyDescent="0.2">
      <c r="A316" s="10" t="s">
        <v>9</v>
      </c>
      <c r="B316" s="10" t="s">
        <v>288</v>
      </c>
      <c r="C316" s="10">
        <v>22</v>
      </c>
      <c r="D316" s="10">
        <v>7</v>
      </c>
      <c r="E316" s="10">
        <v>0.5</v>
      </c>
      <c r="F316" s="11" t="s">
        <v>15</v>
      </c>
      <c r="G316" s="10" t="s">
        <v>32</v>
      </c>
    </row>
    <row r="317" spans="1:7" x14ac:dyDescent="0.2">
      <c r="A317" s="10"/>
      <c r="B317" s="10"/>
      <c r="C317" s="10"/>
      <c r="D317" s="10"/>
      <c r="E317" s="10"/>
      <c r="F317" s="11"/>
      <c r="G317" s="11"/>
    </row>
    <row r="318" spans="1:7" x14ac:dyDescent="0.2">
      <c r="A318" s="10" t="s">
        <v>9</v>
      </c>
      <c r="B318" s="10" t="s">
        <v>288</v>
      </c>
      <c r="C318" s="10">
        <v>4</v>
      </c>
      <c r="D318" s="10">
        <v>2</v>
      </c>
      <c r="E318" s="10">
        <v>0.3</v>
      </c>
      <c r="F318" s="10">
        <v>59499.790499983603</v>
      </c>
      <c r="G318" s="10">
        <v>306.04000000000002</v>
      </c>
    </row>
    <row r="319" spans="1:7" x14ac:dyDescent="0.2">
      <c r="A319" s="10" t="s">
        <v>9</v>
      </c>
      <c r="B319" s="10" t="s">
        <v>288</v>
      </c>
      <c r="C319" s="10">
        <v>6</v>
      </c>
      <c r="D319" s="10">
        <v>2</v>
      </c>
      <c r="E319" s="10">
        <v>0.3</v>
      </c>
      <c r="F319" s="10">
        <v>98041.934349997202</v>
      </c>
      <c r="G319" s="10">
        <v>3628.76</v>
      </c>
    </row>
    <row r="320" spans="1:7" x14ac:dyDescent="0.2">
      <c r="A320" s="10" t="s">
        <v>9</v>
      </c>
      <c r="B320" s="10" t="s">
        <v>288</v>
      </c>
      <c r="C320" s="10">
        <v>8</v>
      </c>
      <c r="D320" s="10">
        <v>3</v>
      </c>
      <c r="E320" s="10">
        <v>0.3</v>
      </c>
      <c r="F320" s="10">
        <v>154779.87819999401</v>
      </c>
      <c r="G320" s="10">
        <v>3642.83</v>
      </c>
    </row>
    <row r="321" spans="1:7" x14ac:dyDescent="0.2">
      <c r="A321" s="10" t="s">
        <v>9</v>
      </c>
      <c r="B321" s="10" t="s">
        <v>288</v>
      </c>
      <c r="C321" s="10">
        <v>10</v>
      </c>
      <c r="D321" s="10">
        <v>4</v>
      </c>
      <c r="E321" s="10">
        <v>0.3</v>
      </c>
      <c r="F321" s="10">
        <v>180190.074566152</v>
      </c>
      <c r="G321" s="10">
        <v>3688.79</v>
      </c>
    </row>
    <row r="322" spans="1:7" x14ac:dyDescent="0.2">
      <c r="A322" s="10" t="s">
        <v>9</v>
      </c>
      <c r="B322" s="10" t="s">
        <v>288</v>
      </c>
      <c r="C322" s="10">
        <v>12</v>
      </c>
      <c r="D322" s="10">
        <v>4</v>
      </c>
      <c r="E322" s="10">
        <v>0.3</v>
      </c>
      <c r="F322" s="11" t="s">
        <v>15</v>
      </c>
      <c r="G322" s="10" t="s">
        <v>32</v>
      </c>
    </row>
    <row r="323" spans="1:7" x14ac:dyDescent="0.2">
      <c r="A323" s="10" t="s">
        <v>9</v>
      </c>
      <c r="B323" s="10" t="s">
        <v>288</v>
      </c>
      <c r="C323" s="10">
        <v>14</v>
      </c>
      <c r="D323" s="10">
        <v>5</v>
      </c>
      <c r="E323" s="10">
        <v>0.3</v>
      </c>
      <c r="F323" s="11" t="s">
        <v>15</v>
      </c>
      <c r="G323" s="10" t="s">
        <v>32</v>
      </c>
    </row>
    <row r="324" spans="1:7" x14ac:dyDescent="0.2">
      <c r="A324" s="10" t="s">
        <v>9</v>
      </c>
      <c r="B324" s="10" t="s">
        <v>288</v>
      </c>
      <c r="C324" s="10">
        <v>16</v>
      </c>
      <c r="D324" s="10">
        <v>5</v>
      </c>
      <c r="E324" s="10">
        <v>0.3</v>
      </c>
      <c r="F324" s="11" t="s">
        <v>15</v>
      </c>
      <c r="G324" s="10" t="s">
        <v>32</v>
      </c>
    </row>
    <row r="325" spans="1:7" x14ac:dyDescent="0.2">
      <c r="A325" s="10" t="s">
        <v>9</v>
      </c>
      <c r="B325" s="10" t="s">
        <v>288</v>
      </c>
      <c r="C325" s="10">
        <v>18</v>
      </c>
      <c r="D325" s="10">
        <v>6</v>
      </c>
      <c r="E325" s="10">
        <v>0.3</v>
      </c>
      <c r="F325" s="11" t="s">
        <v>15</v>
      </c>
      <c r="G325" s="10" t="s">
        <v>32</v>
      </c>
    </row>
    <row r="326" spans="1:7" x14ac:dyDescent="0.2">
      <c r="A326" s="10" t="s">
        <v>9</v>
      </c>
      <c r="B326" s="10" t="s">
        <v>288</v>
      </c>
      <c r="C326" s="10">
        <v>20</v>
      </c>
      <c r="D326" s="10">
        <v>6</v>
      </c>
      <c r="E326" s="10">
        <v>0.3</v>
      </c>
      <c r="F326" s="11" t="s">
        <v>15</v>
      </c>
      <c r="G326" s="10" t="s">
        <v>32</v>
      </c>
    </row>
    <row r="327" spans="1:7" x14ac:dyDescent="0.2">
      <c r="A327" s="10" t="s">
        <v>9</v>
      </c>
      <c r="B327" s="10" t="s">
        <v>288</v>
      </c>
      <c r="C327" s="10">
        <v>22</v>
      </c>
      <c r="D327" s="10">
        <v>7</v>
      </c>
      <c r="E327" s="10">
        <v>0.3</v>
      </c>
      <c r="F327" s="11" t="s">
        <v>15</v>
      </c>
      <c r="G327" s="10" t="s">
        <v>32</v>
      </c>
    </row>
    <row r="328" spans="1:7" x14ac:dyDescent="0.2">
      <c r="A328" s="10"/>
      <c r="B328" s="10"/>
      <c r="C328" s="10"/>
      <c r="D328" s="10"/>
      <c r="E328" s="10"/>
      <c r="F328" s="10"/>
      <c r="G328" s="10"/>
    </row>
    <row r="329" spans="1:7" x14ac:dyDescent="0.2">
      <c r="A329" s="10" t="s">
        <v>10</v>
      </c>
      <c r="B329" s="10" t="s">
        <v>288</v>
      </c>
      <c r="C329" s="10">
        <v>4</v>
      </c>
      <c r="D329" s="10">
        <v>1</v>
      </c>
      <c r="E329" s="10">
        <v>1</v>
      </c>
      <c r="F329" s="11">
        <v>38622.156000000003</v>
      </c>
      <c r="G329" s="10">
        <v>24.89</v>
      </c>
    </row>
    <row r="330" spans="1:7" x14ac:dyDescent="0.2">
      <c r="A330" s="10" t="s">
        <v>10</v>
      </c>
      <c r="B330" s="10" t="s">
        <v>288</v>
      </c>
      <c r="C330" s="10">
        <v>6</v>
      </c>
      <c r="D330" s="10">
        <v>2</v>
      </c>
      <c r="E330" s="10">
        <v>1</v>
      </c>
      <c r="F330" s="10">
        <v>70962.428459949195</v>
      </c>
      <c r="G330" s="10">
        <v>397.67</v>
      </c>
    </row>
    <row r="331" spans="1:7" x14ac:dyDescent="0.2">
      <c r="A331" s="10" t="s">
        <v>10</v>
      </c>
      <c r="B331" s="10" t="s">
        <v>288</v>
      </c>
      <c r="C331" s="10">
        <v>8</v>
      </c>
      <c r="D331" s="10">
        <v>3</v>
      </c>
      <c r="E331" s="10">
        <v>1</v>
      </c>
      <c r="F331" s="10">
        <v>88285.871297012505</v>
      </c>
      <c r="G331" s="10">
        <v>436.96</v>
      </c>
    </row>
    <row r="332" spans="1:7" x14ac:dyDescent="0.2">
      <c r="A332" s="10" t="s">
        <v>10</v>
      </c>
      <c r="B332" s="10" t="s">
        <v>288</v>
      </c>
      <c r="C332" s="10">
        <v>10</v>
      </c>
      <c r="D332" s="10">
        <v>3</v>
      </c>
      <c r="E332" s="10">
        <v>1</v>
      </c>
      <c r="F332" s="10">
        <v>112743.755400482</v>
      </c>
      <c r="G332" s="11">
        <v>3691.9</v>
      </c>
    </row>
    <row r="333" spans="1:7" x14ac:dyDescent="0.2">
      <c r="A333" s="10" t="s">
        <v>10</v>
      </c>
      <c r="B333" s="10" t="s">
        <v>288</v>
      </c>
      <c r="C333" s="10">
        <v>12</v>
      </c>
      <c r="D333" s="10">
        <v>4</v>
      </c>
      <c r="E333" s="10">
        <v>1</v>
      </c>
      <c r="F333" s="10">
        <v>132881.57999999999</v>
      </c>
      <c r="G333" s="10">
        <v>3747.08</v>
      </c>
    </row>
    <row r="334" spans="1:7" x14ac:dyDescent="0.2">
      <c r="A334" s="10" t="s">
        <v>10</v>
      </c>
      <c r="B334" s="10" t="s">
        <v>288</v>
      </c>
      <c r="C334" s="10">
        <v>14</v>
      </c>
      <c r="D334" s="10">
        <v>4</v>
      </c>
      <c r="E334" s="10">
        <v>1</v>
      </c>
      <c r="F334" s="10">
        <v>145085.37449876501</v>
      </c>
      <c r="G334" s="10">
        <v>3784.59</v>
      </c>
    </row>
    <row r="335" spans="1:7" x14ac:dyDescent="0.2">
      <c r="A335" s="10" t="s">
        <v>10</v>
      </c>
      <c r="B335" s="10" t="s">
        <v>288</v>
      </c>
      <c r="C335" s="10">
        <v>16</v>
      </c>
      <c r="D335" s="10">
        <v>5</v>
      </c>
      <c r="E335" s="10">
        <v>1</v>
      </c>
      <c r="F335" s="10">
        <v>177078.73149455999</v>
      </c>
      <c r="G335" s="10">
        <v>3899.01</v>
      </c>
    </row>
    <row r="336" spans="1:7" x14ac:dyDescent="0.2">
      <c r="A336" s="10" t="s">
        <v>10</v>
      </c>
      <c r="B336" s="10" t="s">
        <v>288</v>
      </c>
      <c r="C336" s="10">
        <v>18</v>
      </c>
      <c r="D336" s="10">
        <v>6</v>
      </c>
      <c r="E336" s="10">
        <v>1</v>
      </c>
      <c r="F336" s="10">
        <v>215419.836054999</v>
      </c>
      <c r="G336" s="10">
        <v>4028.38</v>
      </c>
    </row>
    <row r="337" spans="1:7" x14ac:dyDescent="0.2">
      <c r="A337" s="10" t="s">
        <v>10</v>
      </c>
      <c r="B337" s="10" t="s">
        <v>288</v>
      </c>
      <c r="C337" s="10">
        <v>20</v>
      </c>
      <c r="D337" s="10">
        <v>6</v>
      </c>
      <c r="E337" s="10">
        <v>1</v>
      </c>
      <c r="F337" s="10">
        <v>226230.25160998301</v>
      </c>
      <c r="G337" s="10">
        <v>4123.8</v>
      </c>
    </row>
    <row r="338" spans="1:7" x14ac:dyDescent="0.2">
      <c r="A338" s="10" t="s">
        <v>10</v>
      </c>
      <c r="B338" s="10" t="s">
        <v>288</v>
      </c>
      <c r="C338" s="10">
        <v>22</v>
      </c>
      <c r="D338" s="10">
        <v>7</v>
      </c>
      <c r="E338" s="10">
        <v>1</v>
      </c>
      <c r="F338" s="11" t="s">
        <v>15</v>
      </c>
      <c r="G338" s="10" t="s">
        <v>32</v>
      </c>
    </row>
    <row r="339" spans="1:7" x14ac:dyDescent="0.2">
      <c r="A339" s="10"/>
      <c r="B339" s="10"/>
      <c r="C339" s="10"/>
      <c r="D339" s="10"/>
      <c r="E339" s="10"/>
      <c r="F339" s="11"/>
      <c r="G339" s="11"/>
    </row>
    <row r="340" spans="1:7" x14ac:dyDescent="0.2">
      <c r="A340" s="10" t="s">
        <v>10</v>
      </c>
      <c r="B340" s="10" t="s">
        <v>288</v>
      </c>
      <c r="C340" s="10">
        <v>4</v>
      </c>
      <c r="D340" s="10">
        <v>1</v>
      </c>
      <c r="E340" s="10">
        <v>0.5</v>
      </c>
      <c r="F340" s="10">
        <v>47473.066749999998</v>
      </c>
      <c r="G340" s="10">
        <v>24.82</v>
      </c>
    </row>
    <row r="341" spans="1:7" x14ac:dyDescent="0.2">
      <c r="A341" s="10" t="s">
        <v>10</v>
      </c>
      <c r="B341" s="10" t="s">
        <v>288</v>
      </c>
      <c r="C341" s="10">
        <v>6</v>
      </c>
      <c r="D341" s="10">
        <v>2</v>
      </c>
      <c r="E341" s="10">
        <v>0.5</v>
      </c>
      <c r="F341" s="10">
        <v>89102.004537016095</v>
      </c>
      <c r="G341" s="10">
        <v>2152.84</v>
      </c>
    </row>
    <row r="342" spans="1:7" x14ac:dyDescent="0.2">
      <c r="A342" s="10" t="s">
        <v>10</v>
      </c>
      <c r="B342" s="10" t="s">
        <v>288</v>
      </c>
      <c r="C342" s="10">
        <v>8</v>
      </c>
      <c r="D342" s="10">
        <v>3</v>
      </c>
      <c r="E342" s="10">
        <v>0.5</v>
      </c>
      <c r="F342" s="10">
        <v>133031.825099999</v>
      </c>
      <c r="G342" s="10">
        <v>3640.42</v>
      </c>
    </row>
    <row r="343" spans="1:7" x14ac:dyDescent="0.2">
      <c r="A343" s="10" t="s">
        <v>10</v>
      </c>
      <c r="B343" s="10" t="s">
        <v>288</v>
      </c>
      <c r="C343" s="10">
        <v>10</v>
      </c>
      <c r="D343" s="10">
        <v>3</v>
      </c>
      <c r="E343" s="10">
        <v>0.5</v>
      </c>
      <c r="F343" s="10">
        <v>140133.89424846799</v>
      </c>
      <c r="G343" s="10">
        <v>3691.54</v>
      </c>
    </row>
    <row r="344" spans="1:7" x14ac:dyDescent="0.2">
      <c r="A344" s="10" t="s">
        <v>10</v>
      </c>
      <c r="B344" s="10" t="s">
        <v>288</v>
      </c>
      <c r="C344" s="10">
        <v>12</v>
      </c>
      <c r="D344" s="10">
        <v>4</v>
      </c>
      <c r="E344" s="10">
        <v>0.5</v>
      </c>
      <c r="F344" s="10">
        <v>170832.15474999699</v>
      </c>
      <c r="G344" s="10">
        <v>3744.85</v>
      </c>
    </row>
    <row r="345" spans="1:7" x14ac:dyDescent="0.2">
      <c r="A345" s="10" t="s">
        <v>10</v>
      </c>
      <c r="B345" s="10" t="s">
        <v>288</v>
      </c>
      <c r="C345" s="10">
        <v>14</v>
      </c>
      <c r="D345" s="10">
        <v>4</v>
      </c>
      <c r="E345" s="10">
        <v>0.5</v>
      </c>
      <c r="F345" s="10">
        <v>190289.63182498</v>
      </c>
      <c r="G345" s="10">
        <v>3783.38</v>
      </c>
    </row>
    <row r="346" spans="1:7" x14ac:dyDescent="0.2">
      <c r="A346" s="10" t="s">
        <v>10</v>
      </c>
      <c r="B346" s="10" t="s">
        <v>288</v>
      </c>
      <c r="C346" s="10">
        <v>16</v>
      </c>
      <c r="D346" s="10">
        <v>5</v>
      </c>
      <c r="E346" s="10">
        <v>0.5</v>
      </c>
      <c r="F346" s="10">
        <v>226733.29765172201</v>
      </c>
      <c r="G346" s="10">
        <v>3900.27</v>
      </c>
    </row>
    <row r="347" spans="1:7" x14ac:dyDescent="0.2">
      <c r="A347" s="10" t="s">
        <v>10</v>
      </c>
      <c r="B347" s="10" t="s">
        <v>288</v>
      </c>
      <c r="C347" s="10">
        <v>18</v>
      </c>
      <c r="D347" s="10">
        <v>6</v>
      </c>
      <c r="E347" s="10">
        <v>0.5</v>
      </c>
      <c r="F347" s="11" t="s">
        <v>15</v>
      </c>
      <c r="G347" s="10" t="s">
        <v>32</v>
      </c>
    </row>
    <row r="348" spans="1:7" x14ac:dyDescent="0.2">
      <c r="A348" s="10" t="s">
        <v>10</v>
      </c>
      <c r="B348" s="10" t="s">
        <v>288</v>
      </c>
      <c r="C348" s="10">
        <v>20</v>
      </c>
      <c r="D348" s="10">
        <v>6</v>
      </c>
      <c r="E348" s="10">
        <v>0.5</v>
      </c>
      <c r="F348" s="11" t="s">
        <v>15</v>
      </c>
      <c r="G348" s="10" t="s">
        <v>32</v>
      </c>
    </row>
    <row r="349" spans="1:7" x14ac:dyDescent="0.2">
      <c r="A349" s="10" t="s">
        <v>10</v>
      </c>
      <c r="B349" s="10" t="s">
        <v>288</v>
      </c>
      <c r="C349" s="10">
        <v>22</v>
      </c>
      <c r="D349" s="10">
        <v>7</v>
      </c>
      <c r="E349" s="10">
        <v>0.5</v>
      </c>
      <c r="F349" s="11" t="s">
        <v>15</v>
      </c>
      <c r="G349" s="10" t="s">
        <v>32</v>
      </c>
    </row>
    <row r="350" spans="1:7" x14ac:dyDescent="0.2">
      <c r="A350" s="10"/>
      <c r="B350" s="10"/>
      <c r="C350" s="10"/>
      <c r="D350" s="10"/>
      <c r="E350" s="10"/>
      <c r="F350" s="10"/>
      <c r="G350" s="10"/>
    </row>
    <row r="351" spans="1:7" x14ac:dyDescent="0.2">
      <c r="A351" s="10" t="s">
        <v>10</v>
      </c>
      <c r="B351" s="10" t="s">
        <v>288</v>
      </c>
      <c r="C351" s="10">
        <v>4</v>
      </c>
      <c r="D351" s="10">
        <v>1</v>
      </c>
      <c r="E351" s="10">
        <v>0.3</v>
      </c>
      <c r="F351" s="10">
        <v>68730.829851328701</v>
      </c>
      <c r="G351" s="10">
        <v>472.96</v>
      </c>
    </row>
    <row r="352" spans="1:7" x14ac:dyDescent="0.2">
      <c r="A352" s="10" t="s">
        <v>10</v>
      </c>
      <c r="B352" s="10" t="s">
        <v>288</v>
      </c>
      <c r="C352" s="10">
        <v>6</v>
      </c>
      <c r="D352" s="10">
        <v>2</v>
      </c>
      <c r="E352" s="10">
        <v>0.3</v>
      </c>
      <c r="F352" s="10">
        <v>119249.788312377</v>
      </c>
      <c r="G352" s="10">
        <v>3625.74</v>
      </c>
    </row>
    <row r="353" spans="1:7" x14ac:dyDescent="0.2">
      <c r="A353" s="10" t="s">
        <v>10</v>
      </c>
      <c r="B353" s="10" t="s">
        <v>288</v>
      </c>
      <c r="C353" s="10">
        <v>8</v>
      </c>
      <c r="D353" s="10">
        <v>3</v>
      </c>
      <c r="E353" s="10">
        <v>0.3</v>
      </c>
      <c r="F353" s="11" t="s">
        <v>15</v>
      </c>
      <c r="G353" s="10" t="s">
        <v>32</v>
      </c>
    </row>
    <row r="354" spans="1:7" x14ac:dyDescent="0.2">
      <c r="A354" s="10" t="s">
        <v>10</v>
      </c>
      <c r="B354" s="10" t="s">
        <v>288</v>
      </c>
      <c r="C354" s="10">
        <v>10</v>
      </c>
      <c r="D354" s="10">
        <v>3</v>
      </c>
      <c r="E354" s="10">
        <v>0.3</v>
      </c>
      <c r="F354" s="11" t="s">
        <v>15</v>
      </c>
      <c r="G354" s="10" t="s">
        <v>32</v>
      </c>
    </row>
    <row r="355" spans="1:7" x14ac:dyDescent="0.2">
      <c r="A355" s="10" t="s">
        <v>10</v>
      </c>
      <c r="B355" s="10" t="s">
        <v>288</v>
      </c>
      <c r="C355" s="10">
        <v>12</v>
      </c>
      <c r="D355" s="10">
        <v>4</v>
      </c>
      <c r="E355" s="10">
        <v>0.3</v>
      </c>
      <c r="F355" s="11" t="s">
        <v>15</v>
      </c>
      <c r="G355" s="10" t="s">
        <v>32</v>
      </c>
    </row>
    <row r="356" spans="1:7" x14ac:dyDescent="0.2">
      <c r="A356" s="10" t="s">
        <v>10</v>
      </c>
      <c r="B356" s="10" t="s">
        <v>288</v>
      </c>
      <c r="C356" s="10">
        <v>14</v>
      </c>
      <c r="D356" s="10">
        <v>4</v>
      </c>
      <c r="E356" s="10">
        <v>0.3</v>
      </c>
      <c r="F356" s="11" t="s">
        <v>15</v>
      </c>
      <c r="G356" s="10" t="s">
        <v>32</v>
      </c>
    </row>
    <row r="357" spans="1:7" x14ac:dyDescent="0.2">
      <c r="A357" s="10" t="s">
        <v>10</v>
      </c>
      <c r="B357" s="10" t="s">
        <v>288</v>
      </c>
      <c r="C357" s="10">
        <v>16</v>
      </c>
      <c r="D357" s="10">
        <v>5</v>
      </c>
      <c r="E357" s="10">
        <v>0.3</v>
      </c>
      <c r="F357" s="11" t="s">
        <v>15</v>
      </c>
      <c r="G357" s="10" t="s">
        <v>32</v>
      </c>
    </row>
    <row r="358" spans="1:7" x14ac:dyDescent="0.2">
      <c r="A358" s="10" t="s">
        <v>10</v>
      </c>
      <c r="B358" s="10" t="s">
        <v>288</v>
      </c>
      <c r="C358" s="10">
        <v>18</v>
      </c>
      <c r="D358" s="10">
        <v>6</v>
      </c>
      <c r="E358" s="10">
        <v>0.3</v>
      </c>
      <c r="F358" s="11" t="s">
        <v>15</v>
      </c>
      <c r="G358" s="10" t="s">
        <v>32</v>
      </c>
    </row>
    <row r="359" spans="1:7" x14ac:dyDescent="0.2">
      <c r="A359" s="10" t="s">
        <v>10</v>
      </c>
      <c r="B359" s="10" t="s">
        <v>288</v>
      </c>
      <c r="C359" s="10">
        <v>20</v>
      </c>
      <c r="D359" s="10">
        <v>6</v>
      </c>
      <c r="E359" s="10">
        <v>0.3</v>
      </c>
      <c r="F359" s="11" t="s">
        <v>15</v>
      </c>
      <c r="G359" s="10" t="s">
        <v>32</v>
      </c>
    </row>
    <row r="360" spans="1:7" x14ac:dyDescent="0.2">
      <c r="A360" s="10" t="s">
        <v>10</v>
      </c>
      <c r="B360" s="10" t="s">
        <v>288</v>
      </c>
      <c r="C360" s="10">
        <v>22</v>
      </c>
      <c r="D360" s="10">
        <v>7</v>
      </c>
      <c r="E360" s="10">
        <v>0.3</v>
      </c>
      <c r="F360" s="11" t="s">
        <v>15</v>
      </c>
      <c r="G360" s="10" t="s">
        <v>32</v>
      </c>
    </row>
    <row r="361" spans="1:7" x14ac:dyDescent="0.2">
      <c r="A361" s="10"/>
      <c r="B361" s="10"/>
      <c r="C361" s="10"/>
      <c r="D361" s="10"/>
      <c r="E361" s="10"/>
      <c r="F361" s="10"/>
      <c r="G361" s="10"/>
    </row>
    <row r="362" spans="1:7" x14ac:dyDescent="0.2">
      <c r="A362" s="10" t="s">
        <v>11</v>
      </c>
      <c r="B362" s="10" t="s">
        <v>288</v>
      </c>
      <c r="C362" s="10">
        <v>4</v>
      </c>
      <c r="D362" s="10">
        <v>1</v>
      </c>
      <c r="E362" s="10">
        <v>1</v>
      </c>
      <c r="F362" s="10">
        <v>38500.2599999999</v>
      </c>
      <c r="G362" s="10">
        <v>20.100000000000001</v>
      </c>
    </row>
    <row r="363" spans="1:7" x14ac:dyDescent="0.2">
      <c r="A363" s="10" t="s">
        <v>11</v>
      </c>
      <c r="B363" s="10" t="s">
        <v>288</v>
      </c>
      <c r="C363" s="10">
        <v>6</v>
      </c>
      <c r="D363" s="10">
        <v>2</v>
      </c>
      <c r="E363" s="10">
        <v>1</v>
      </c>
      <c r="F363" s="10">
        <v>64509.839903659602</v>
      </c>
      <c r="G363" s="10">
        <v>526.61</v>
      </c>
    </row>
    <row r="364" spans="1:7" x14ac:dyDescent="0.2">
      <c r="A364" s="10" t="s">
        <v>11</v>
      </c>
      <c r="B364" s="10" t="s">
        <v>288</v>
      </c>
      <c r="C364" s="10">
        <v>8</v>
      </c>
      <c r="D364" s="10">
        <v>3</v>
      </c>
      <c r="E364" s="10">
        <v>1</v>
      </c>
      <c r="F364" s="10">
        <v>88037.637057404703</v>
      </c>
      <c r="G364" s="10">
        <v>2203.63</v>
      </c>
    </row>
    <row r="365" spans="1:7" x14ac:dyDescent="0.2">
      <c r="A365" s="10" t="s">
        <v>11</v>
      </c>
      <c r="B365" s="10" t="s">
        <v>288</v>
      </c>
      <c r="C365" s="10">
        <v>10</v>
      </c>
      <c r="D365" s="10">
        <v>3</v>
      </c>
      <c r="E365" s="10">
        <v>1</v>
      </c>
      <c r="F365" s="10">
        <v>108803.531999999</v>
      </c>
      <c r="G365" s="10">
        <v>3691.76</v>
      </c>
    </row>
    <row r="366" spans="1:7" x14ac:dyDescent="0.2">
      <c r="A366" s="10" t="s">
        <v>11</v>
      </c>
      <c r="B366" s="10" t="s">
        <v>288</v>
      </c>
      <c r="C366" s="10">
        <v>12</v>
      </c>
      <c r="D366" s="10">
        <v>4</v>
      </c>
      <c r="E366" s="10">
        <v>1</v>
      </c>
      <c r="F366" s="10">
        <v>130878.88800000001</v>
      </c>
      <c r="G366" s="10">
        <v>3747.2</v>
      </c>
    </row>
    <row r="367" spans="1:7" x14ac:dyDescent="0.2">
      <c r="A367" s="10" t="s">
        <v>11</v>
      </c>
      <c r="B367" s="10" t="s">
        <v>288</v>
      </c>
      <c r="C367" s="10">
        <v>14</v>
      </c>
      <c r="D367" s="10">
        <v>4</v>
      </c>
      <c r="E367" s="10">
        <v>1</v>
      </c>
      <c r="F367" s="10">
        <v>144304.81200000001</v>
      </c>
      <c r="G367" s="10">
        <v>3797.16</v>
      </c>
    </row>
    <row r="368" spans="1:7" x14ac:dyDescent="0.2">
      <c r="A368" s="10" t="s">
        <v>11</v>
      </c>
      <c r="B368" s="10" t="s">
        <v>288</v>
      </c>
      <c r="C368" s="10">
        <v>16</v>
      </c>
      <c r="D368" s="10">
        <v>5</v>
      </c>
      <c r="E368" s="10">
        <v>1</v>
      </c>
      <c r="F368" s="10">
        <v>170577.864</v>
      </c>
      <c r="G368" s="10">
        <v>3914.87</v>
      </c>
    </row>
    <row r="369" spans="1:7" x14ac:dyDescent="0.2">
      <c r="A369" s="10" t="s">
        <v>11</v>
      </c>
      <c r="B369" s="10" t="s">
        <v>288</v>
      </c>
      <c r="C369" s="10">
        <v>18</v>
      </c>
      <c r="D369" s="10">
        <v>5</v>
      </c>
      <c r="E369" s="10">
        <v>1</v>
      </c>
      <c r="F369" s="10">
        <v>240365.26805499999</v>
      </c>
      <c r="G369" s="10">
        <v>3987.5</v>
      </c>
    </row>
    <row r="370" spans="1:7" x14ac:dyDescent="0.2">
      <c r="A370" s="10" t="s">
        <v>11</v>
      </c>
      <c r="B370" s="10" t="s">
        <v>288</v>
      </c>
      <c r="C370" s="10">
        <v>20</v>
      </c>
      <c r="D370" s="10">
        <v>6</v>
      </c>
      <c r="E370" s="10">
        <v>1</v>
      </c>
      <c r="F370" s="10">
        <v>248469.103999999</v>
      </c>
      <c r="G370" s="10">
        <v>4134.33</v>
      </c>
    </row>
    <row r="371" spans="1:7" x14ac:dyDescent="0.2">
      <c r="A371" s="10" t="s">
        <v>11</v>
      </c>
      <c r="B371" s="10" t="s">
        <v>288</v>
      </c>
      <c r="C371" s="10">
        <v>22</v>
      </c>
      <c r="D371" s="10">
        <v>7</v>
      </c>
      <c r="E371" s="10">
        <v>1</v>
      </c>
      <c r="F371" s="10">
        <v>255965.467999999</v>
      </c>
      <c r="G371" s="10">
        <v>4362.9399999999996</v>
      </c>
    </row>
    <row r="372" spans="1:7" x14ac:dyDescent="0.2">
      <c r="A372" s="10"/>
      <c r="B372" s="10"/>
      <c r="C372" s="10"/>
      <c r="D372" s="10"/>
      <c r="E372" s="10"/>
      <c r="F372" s="10"/>
      <c r="G372" s="10"/>
    </row>
    <row r="373" spans="1:7" x14ac:dyDescent="0.2">
      <c r="A373" s="10" t="s">
        <v>11</v>
      </c>
      <c r="B373" s="10" t="s">
        <v>288</v>
      </c>
      <c r="C373" s="10">
        <v>4</v>
      </c>
      <c r="D373" s="10">
        <v>1</v>
      </c>
      <c r="E373" s="10">
        <v>0.5</v>
      </c>
      <c r="F373" s="10">
        <v>47323.236194999998</v>
      </c>
      <c r="G373" s="10">
        <v>23.22</v>
      </c>
    </row>
    <row r="374" spans="1:7" x14ac:dyDescent="0.2">
      <c r="A374" s="10" t="s">
        <v>11</v>
      </c>
      <c r="B374" s="10" t="s">
        <v>288</v>
      </c>
      <c r="C374" s="10">
        <v>6</v>
      </c>
      <c r="D374" s="10">
        <v>2</v>
      </c>
      <c r="E374" s="10">
        <v>0.5</v>
      </c>
      <c r="F374" s="10">
        <v>79293.344989350298</v>
      </c>
      <c r="G374" s="10">
        <v>3623.76</v>
      </c>
    </row>
    <row r="375" spans="1:7" x14ac:dyDescent="0.2">
      <c r="A375" s="10" t="s">
        <v>11</v>
      </c>
      <c r="B375" s="10" t="s">
        <v>288</v>
      </c>
      <c r="C375" s="10">
        <v>8</v>
      </c>
      <c r="D375" s="10">
        <v>3</v>
      </c>
      <c r="E375" s="10">
        <v>0.5</v>
      </c>
      <c r="F375" s="10">
        <v>120336.57354543101</v>
      </c>
      <c r="G375" s="10">
        <v>3639.27</v>
      </c>
    </row>
    <row r="376" spans="1:7" x14ac:dyDescent="0.2">
      <c r="A376" s="10" t="s">
        <v>11</v>
      </c>
      <c r="B376" s="10" t="s">
        <v>288</v>
      </c>
      <c r="C376" s="10">
        <v>10</v>
      </c>
      <c r="D376" s="10">
        <v>3</v>
      </c>
      <c r="E376" s="10">
        <v>0.5</v>
      </c>
      <c r="F376" s="11" t="s">
        <v>15</v>
      </c>
      <c r="G376" s="10" t="s">
        <v>32</v>
      </c>
    </row>
    <row r="377" spans="1:7" x14ac:dyDescent="0.2">
      <c r="A377" s="10" t="s">
        <v>11</v>
      </c>
      <c r="B377" s="10" t="s">
        <v>288</v>
      </c>
      <c r="C377" s="10">
        <v>12</v>
      </c>
      <c r="D377" s="10">
        <v>4</v>
      </c>
      <c r="E377" s="10">
        <v>0.5</v>
      </c>
      <c r="F377" s="11" t="s">
        <v>15</v>
      </c>
      <c r="G377" s="10" t="s">
        <v>32</v>
      </c>
    </row>
    <row r="378" spans="1:7" x14ac:dyDescent="0.2">
      <c r="A378" s="10" t="s">
        <v>11</v>
      </c>
      <c r="B378" s="10" t="s">
        <v>288</v>
      </c>
      <c r="C378" s="10">
        <v>14</v>
      </c>
      <c r="D378" s="10">
        <v>4</v>
      </c>
      <c r="E378" s="10">
        <v>0.5</v>
      </c>
      <c r="F378" s="11" t="s">
        <v>15</v>
      </c>
      <c r="G378" s="10" t="s">
        <v>32</v>
      </c>
    </row>
    <row r="379" spans="1:7" x14ac:dyDescent="0.2">
      <c r="A379" s="10" t="s">
        <v>11</v>
      </c>
      <c r="B379" s="10" t="s">
        <v>288</v>
      </c>
      <c r="C379" s="10">
        <v>16</v>
      </c>
      <c r="D379" s="10">
        <v>5</v>
      </c>
      <c r="E379" s="10">
        <v>0.5</v>
      </c>
      <c r="F379" s="11" t="s">
        <v>15</v>
      </c>
      <c r="G379" s="10" t="s">
        <v>32</v>
      </c>
    </row>
    <row r="380" spans="1:7" x14ac:dyDescent="0.2">
      <c r="A380" s="10" t="s">
        <v>11</v>
      </c>
      <c r="B380" s="10" t="s">
        <v>288</v>
      </c>
      <c r="C380" s="10">
        <v>18</v>
      </c>
      <c r="D380" s="10">
        <v>5</v>
      </c>
      <c r="E380" s="10">
        <v>0.5</v>
      </c>
      <c r="F380" s="11" t="s">
        <v>15</v>
      </c>
      <c r="G380" s="10" t="s">
        <v>32</v>
      </c>
    </row>
    <row r="381" spans="1:7" x14ac:dyDescent="0.2">
      <c r="A381" s="10" t="s">
        <v>11</v>
      </c>
      <c r="B381" s="10" t="s">
        <v>288</v>
      </c>
      <c r="C381" s="10">
        <v>20</v>
      </c>
      <c r="D381" s="10">
        <v>6</v>
      </c>
      <c r="E381" s="10">
        <v>0.5</v>
      </c>
      <c r="F381" s="11" t="s">
        <v>15</v>
      </c>
      <c r="G381" s="10" t="s">
        <v>32</v>
      </c>
    </row>
    <row r="382" spans="1:7" x14ac:dyDescent="0.2">
      <c r="A382" s="10" t="s">
        <v>11</v>
      </c>
      <c r="B382" s="10" t="s">
        <v>288</v>
      </c>
      <c r="C382" s="10">
        <v>22</v>
      </c>
      <c r="D382" s="10">
        <v>7</v>
      </c>
      <c r="E382" s="10">
        <v>0.5</v>
      </c>
      <c r="F382" s="11" t="s">
        <v>15</v>
      </c>
      <c r="G382" s="10" t="s">
        <v>32</v>
      </c>
    </row>
    <row r="383" spans="1:7" x14ac:dyDescent="0.2">
      <c r="A383" s="10"/>
      <c r="B383" s="10"/>
      <c r="C383" s="10"/>
      <c r="D383" s="10"/>
      <c r="E383" s="10"/>
      <c r="F383" s="11"/>
      <c r="G383" s="10"/>
    </row>
    <row r="384" spans="1:7" x14ac:dyDescent="0.2">
      <c r="A384" s="10" t="s">
        <v>11</v>
      </c>
      <c r="B384" s="10" t="s">
        <v>288</v>
      </c>
      <c r="C384" s="10">
        <v>4</v>
      </c>
      <c r="D384" s="10">
        <v>1</v>
      </c>
      <c r="E384" s="10">
        <v>0.3</v>
      </c>
      <c r="F384" s="10">
        <v>54855.058949999897</v>
      </c>
      <c r="G384" s="10">
        <v>24.42</v>
      </c>
    </row>
    <row r="385" spans="1:7" x14ac:dyDescent="0.2">
      <c r="A385" s="10" t="s">
        <v>11</v>
      </c>
      <c r="B385" s="10" t="s">
        <v>288</v>
      </c>
      <c r="C385" s="10">
        <v>6</v>
      </c>
      <c r="D385" s="10">
        <v>2</v>
      </c>
      <c r="E385" s="10">
        <v>0.3</v>
      </c>
      <c r="F385" s="10">
        <v>103388.947459125</v>
      </c>
      <c r="G385" s="10">
        <v>3624.25</v>
      </c>
    </row>
    <row r="386" spans="1:7" x14ac:dyDescent="0.2">
      <c r="A386" s="10" t="s">
        <v>11</v>
      </c>
      <c r="B386" s="10" t="s">
        <v>288</v>
      </c>
      <c r="C386" s="10">
        <v>8</v>
      </c>
      <c r="D386" s="10">
        <v>3</v>
      </c>
      <c r="E386" s="10">
        <v>0.3</v>
      </c>
      <c r="F386" s="10">
        <v>159983.59136307499</v>
      </c>
      <c r="G386" s="10">
        <v>3637.26</v>
      </c>
    </row>
    <row r="387" spans="1:7" x14ac:dyDescent="0.2">
      <c r="A387" s="10" t="s">
        <v>11</v>
      </c>
      <c r="B387" s="10" t="s">
        <v>288</v>
      </c>
      <c r="C387" s="10">
        <v>10</v>
      </c>
      <c r="D387" s="10">
        <v>3</v>
      </c>
      <c r="E387" s="10">
        <v>0.3</v>
      </c>
      <c r="F387" s="11" t="s">
        <v>15</v>
      </c>
      <c r="G387" s="10" t="s">
        <v>32</v>
      </c>
    </row>
    <row r="388" spans="1:7" x14ac:dyDescent="0.2">
      <c r="A388" s="10" t="s">
        <v>11</v>
      </c>
      <c r="B388" s="10" t="s">
        <v>288</v>
      </c>
      <c r="C388" s="10">
        <v>12</v>
      </c>
      <c r="D388" s="10">
        <v>4</v>
      </c>
      <c r="E388" s="10">
        <v>0.3</v>
      </c>
      <c r="F388" s="11" t="s">
        <v>15</v>
      </c>
      <c r="G388" s="10" t="s">
        <v>32</v>
      </c>
    </row>
    <row r="389" spans="1:7" x14ac:dyDescent="0.2">
      <c r="A389" s="10" t="s">
        <v>11</v>
      </c>
      <c r="B389" s="10" t="s">
        <v>288</v>
      </c>
      <c r="C389" s="10">
        <v>14</v>
      </c>
      <c r="D389" s="10">
        <v>4</v>
      </c>
      <c r="E389" s="10">
        <v>0.3</v>
      </c>
      <c r="F389" s="11" t="s">
        <v>15</v>
      </c>
      <c r="G389" s="10" t="s">
        <v>32</v>
      </c>
    </row>
    <row r="390" spans="1:7" x14ac:dyDescent="0.2">
      <c r="A390" s="10" t="s">
        <v>11</v>
      </c>
      <c r="B390" s="10" t="s">
        <v>288</v>
      </c>
      <c r="C390" s="10">
        <v>16</v>
      </c>
      <c r="D390" s="10">
        <v>5</v>
      </c>
      <c r="E390" s="10">
        <v>0.3</v>
      </c>
      <c r="F390" s="11" t="s">
        <v>15</v>
      </c>
      <c r="G390" s="10" t="s">
        <v>32</v>
      </c>
    </row>
    <row r="391" spans="1:7" x14ac:dyDescent="0.2">
      <c r="A391" s="10" t="s">
        <v>11</v>
      </c>
      <c r="B391" s="10" t="s">
        <v>288</v>
      </c>
      <c r="C391" s="10">
        <v>18</v>
      </c>
      <c r="D391" s="10">
        <v>5</v>
      </c>
      <c r="E391" s="10">
        <v>0.3</v>
      </c>
      <c r="F391" s="11" t="s">
        <v>15</v>
      </c>
      <c r="G391" s="10" t="s">
        <v>32</v>
      </c>
    </row>
    <row r="392" spans="1:7" x14ac:dyDescent="0.2">
      <c r="A392" s="10" t="s">
        <v>11</v>
      </c>
      <c r="B392" s="10" t="s">
        <v>288</v>
      </c>
      <c r="C392" s="10">
        <v>20</v>
      </c>
      <c r="D392" s="10">
        <v>6</v>
      </c>
      <c r="E392" s="10">
        <v>0.3</v>
      </c>
      <c r="F392" s="11" t="s">
        <v>15</v>
      </c>
      <c r="G392" s="10" t="s">
        <v>32</v>
      </c>
    </row>
    <row r="393" spans="1:7" x14ac:dyDescent="0.2">
      <c r="A393" s="10" t="s">
        <v>11</v>
      </c>
      <c r="B393" s="10" t="s">
        <v>288</v>
      </c>
      <c r="C393" s="10">
        <v>22</v>
      </c>
      <c r="D393" s="10">
        <v>7</v>
      </c>
      <c r="E393" s="10">
        <v>0.3</v>
      </c>
      <c r="F393" s="11" t="s">
        <v>15</v>
      </c>
      <c r="G393" s="10" t="s">
        <v>32</v>
      </c>
    </row>
    <row r="394" spans="1:7" x14ac:dyDescent="0.2">
      <c r="A394" s="10"/>
      <c r="B394" s="10"/>
      <c r="C394" s="10"/>
      <c r="D394" s="10"/>
      <c r="E394" s="10"/>
      <c r="F394" s="10"/>
      <c r="G394" s="10"/>
    </row>
    <row r="395" spans="1:7" x14ac:dyDescent="0.2">
      <c r="A395" s="10" t="s">
        <v>12</v>
      </c>
      <c r="B395" s="10" t="s">
        <v>288</v>
      </c>
      <c r="C395" s="10">
        <v>4</v>
      </c>
      <c r="D395" s="10">
        <v>2</v>
      </c>
      <c r="E395" s="10">
        <v>1</v>
      </c>
      <c r="F395" s="10">
        <v>55719.227999999901</v>
      </c>
      <c r="G395" s="10">
        <v>62.56</v>
      </c>
    </row>
    <row r="396" spans="1:7" x14ac:dyDescent="0.2">
      <c r="A396" s="10" t="s">
        <v>12</v>
      </c>
      <c r="B396" s="10" t="s">
        <v>288</v>
      </c>
      <c r="C396" s="10">
        <v>6</v>
      </c>
      <c r="D396" s="10">
        <v>2</v>
      </c>
      <c r="E396" s="10">
        <v>1</v>
      </c>
      <c r="F396" s="10">
        <v>68436.335814999897</v>
      </c>
      <c r="G396" s="10">
        <v>175.33</v>
      </c>
    </row>
    <row r="397" spans="1:7" x14ac:dyDescent="0.2">
      <c r="A397" s="10" t="s">
        <v>12</v>
      </c>
      <c r="B397" s="10" t="s">
        <v>288</v>
      </c>
      <c r="C397" s="10">
        <v>8</v>
      </c>
      <c r="D397" s="10">
        <v>3</v>
      </c>
      <c r="E397" s="10">
        <v>1</v>
      </c>
      <c r="F397" s="10">
        <v>107375.81709681801</v>
      </c>
      <c r="G397" s="10">
        <v>3648.59</v>
      </c>
    </row>
    <row r="398" spans="1:7" x14ac:dyDescent="0.2">
      <c r="A398" s="10" t="s">
        <v>12</v>
      </c>
      <c r="B398" s="10" t="s">
        <v>288</v>
      </c>
      <c r="C398" s="10">
        <v>10</v>
      </c>
      <c r="D398" s="10" t="s">
        <v>25</v>
      </c>
      <c r="E398" s="10">
        <v>1</v>
      </c>
      <c r="F398" s="10">
        <v>131302.068099992</v>
      </c>
      <c r="G398" s="10">
        <v>3700.98</v>
      </c>
    </row>
    <row r="399" spans="1:7" x14ac:dyDescent="0.2">
      <c r="A399" s="10" t="s">
        <v>12</v>
      </c>
      <c r="B399" s="10" t="s">
        <v>288</v>
      </c>
      <c r="C399" s="10">
        <v>12</v>
      </c>
      <c r="D399" s="10">
        <v>4</v>
      </c>
      <c r="E399" s="10">
        <v>1</v>
      </c>
      <c r="F399" s="10">
        <v>144725.724165002</v>
      </c>
      <c r="G399" s="10">
        <v>3727.77</v>
      </c>
    </row>
    <row r="400" spans="1:7" x14ac:dyDescent="0.2">
      <c r="A400" s="10" t="s">
        <v>12</v>
      </c>
      <c r="B400" s="10" t="s">
        <v>288</v>
      </c>
      <c r="C400" s="10">
        <v>14</v>
      </c>
      <c r="D400" s="10">
        <v>4</v>
      </c>
      <c r="E400" s="10">
        <v>1</v>
      </c>
      <c r="F400" s="10">
        <v>150380.833463722</v>
      </c>
      <c r="G400" s="10">
        <v>3799.68</v>
      </c>
    </row>
    <row r="401" spans="1:7" x14ac:dyDescent="0.2">
      <c r="A401" s="10" t="s">
        <v>12</v>
      </c>
      <c r="B401" s="10" t="s">
        <v>288</v>
      </c>
      <c r="C401" s="10">
        <v>16</v>
      </c>
      <c r="D401" s="10">
        <v>5</v>
      </c>
      <c r="E401" s="10">
        <v>1</v>
      </c>
      <c r="F401" s="10">
        <v>185243.09994327</v>
      </c>
      <c r="G401" s="10">
        <v>3894.48</v>
      </c>
    </row>
    <row r="402" spans="1:7" x14ac:dyDescent="0.2">
      <c r="A402" s="10" t="s">
        <v>12</v>
      </c>
      <c r="B402" s="10" t="s">
        <v>288</v>
      </c>
      <c r="C402" s="10">
        <v>18</v>
      </c>
      <c r="D402" s="10">
        <v>5</v>
      </c>
      <c r="E402" s="10">
        <v>1</v>
      </c>
      <c r="F402" s="10">
        <v>213897.09599999999</v>
      </c>
      <c r="G402" s="10">
        <v>3969.62</v>
      </c>
    </row>
    <row r="403" spans="1:7" x14ac:dyDescent="0.2">
      <c r="A403" s="10" t="s">
        <v>12</v>
      </c>
      <c r="B403" s="10" t="s">
        <v>288</v>
      </c>
      <c r="C403" s="10">
        <v>20</v>
      </c>
      <c r="D403" s="10">
        <v>6</v>
      </c>
      <c r="E403" s="10">
        <v>1</v>
      </c>
      <c r="F403" s="10">
        <v>235775.308374999</v>
      </c>
      <c r="G403" s="10">
        <v>4146.01</v>
      </c>
    </row>
    <row r="404" spans="1:7" x14ac:dyDescent="0.2">
      <c r="A404" s="10" t="s">
        <v>12</v>
      </c>
      <c r="B404" s="10" t="s">
        <v>288</v>
      </c>
      <c r="C404" s="10">
        <v>22</v>
      </c>
      <c r="D404" s="10">
        <v>7</v>
      </c>
      <c r="E404" s="10">
        <v>1</v>
      </c>
      <c r="F404" s="11" t="s">
        <v>15</v>
      </c>
      <c r="G404" s="10" t="s">
        <v>32</v>
      </c>
    </row>
    <row r="405" spans="1:7" x14ac:dyDescent="0.2">
      <c r="A405" s="10"/>
      <c r="B405" s="10"/>
      <c r="C405" s="10"/>
      <c r="D405" s="10"/>
      <c r="E405" s="10"/>
      <c r="F405" s="11"/>
      <c r="G405" s="10"/>
    </row>
    <row r="406" spans="1:7" x14ac:dyDescent="0.2">
      <c r="A406" s="10" t="s">
        <v>12</v>
      </c>
      <c r="B406" s="10" t="s">
        <v>288</v>
      </c>
      <c r="C406" s="10">
        <v>4</v>
      </c>
      <c r="D406" s="10">
        <v>2</v>
      </c>
      <c r="E406" s="10">
        <v>0.5</v>
      </c>
      <c r="F406" s="10">
        <v>68488.217632505301</v>
      </c>
      <c r="G406" s="10">
        <v>210.59</v>
      </c>
    </row>
    <row r="407" spans="1:7" x14ac:dyDescent="0.2">
      <c r="A407" s="10" t="s">
        <v>12</v>
      </c>
      <c r="B407" s="10" t="s">
        <v>288</v>
      </c>
      <c r="C407" s="10">
        <v>6</v>
      </c>
      <c r="D407" s="10">
        <v>2</v>
      </c>
      <c r="E407" s="10">
        <v>0.5</v>
      </c>
      <c r="F407" s="10">
        <v>84119.663</v>
      </c>
      <c r="G407" s="10">
        <v>575.58000000000004</v>
      </c>
    </row>
    <row r="408" spans="1:7" x14ac:dyDescent="0.2">
      <c r="A408" s="10" t="s">
        <v>12</v>
      </c>
      <c r="B408" s="10" t="s">
        <v>288</v>
      </c>
      <c r="C408" s="10">
        <v>8</v>
      </c>
      <c r="D408" s="10">
        <v>3</v>
      </c>
      <c r="E408" s="10">
        <v>0.5</v>
      </c>
      <c r="F408" s="10">
        <v>136501.63298571901</v>
      </c>
      <c r="G408" s="10">
        <v>3643.12</v>
      </c>
    </row>
    <row r="409" spans="1:7" x14ac:dyDescent="0.2">
      <c r="A409" s="10" t="s">
        <v>12</v>
      </c>
      <c r="B409" s="10" t="s">
        <v>288</v>
      </c>
      <c r="C409" s="10">
        <v>10</v>
      </c>
      <c r="D409" s="10" t="s">
        <v>25</v>
      </c>
      <c r="E409" s="10">
        <v>0.5</v>
      </c>
      <c r="F409" s="10">
        <v>167643.97174999901</v>
      </c>
      <c r="G409" s="10">
        <v>3700.07</v>
      </c>
    </row>
    <row r="410" spans="1:7" x14ac:dyDescent="0.2">
      <c r="A410" s="10" t="s">
        <v>12</v>
      </c>
      <c r="B410" s="10" t="s">
        <v>288</v>
      </c>
      <c r="C410" s="10">
        <v>12</v>
      </c>
      <c r="D410" s="10">
        <v>4</v>
      </c>
      <c r="E410" s="10">
        <v>0.5</v>
      </c>
      <c r="F410" s="10">
        <v>186367.208749985</v>
      </c>
      <c r="G410" s="10">
        <v>3728.15</v>
      </c>
    </row>
    <row r="411" spans="1:7" x14ac:dyDescent="0.2">
      <c r="A411" s="10" t="s">
        <v>12</v>
      </c>
      <c r="B411" s="10" t="s">
        <v>288</v>
      </c>
      <c r="C411" s="10">
        <v>14</v>
      </c>
      <c r="D411" s="10">
        <v>4</v>
      </c>
      <c r="E411" s="10">
        <v>0.5</v>
      </c>
      <c r="F411" s="11" t="s">
        <v>15</v>
      </c>
      <c r="G411" s="10" t="s">
        <v>32</v>
      </c>
    </row>
    <row r="412" spans="1:7" x14ac:dyDescent="0.2">
      <c r="A412" s="10" t="s">
        <v>12</v>
      </c>
      <c r="B412" s="10" t="s">
        <v>288</v>
      </c>
      <c r="C412" s="10">
        <v>16</v>
      </c>
      <c r="D412" s="10">
        <v>5</v>
      </c>
      <c r="E412" s="10">
        <v>0.5</v>
      </c>
      <c r="F412" s="10">
        <v>236943.70499999</v>
      </c>
      <c r="G412" s="10">
        <v>3888.9</v>
      </c>
    </row>
    <row r="413" spans="1:7" x14ac:dyDescent="0.2">
      <c r="A413" s="10" t="s">
        <v>12</v>
      </c>
      <c r="B413" s="10" t="s">
        <v>288</v>
      </c>
      <c r="C413" s="10">
        <v>18</v>
      </c>
      <c r="D413" s="10">
        <v>5</v>
      </c>
      <c r="E413" s="10">
        <v>0.5</v>
      </c>
      <c r="F413" s="10">
        <v>293557.921999869</v>
      </c>
      <c r="G413" s="10">
        <v>3968.33</v>
      </c>
    </row>
    <row r="414" spans="1:7" x14ac:dyDescent="0.2">
      <c r="A414" s="10" t="s">
        <v>12</v>
      </c>
      <c r="B414" s="10" t="s">
        <v>288</v>
      </c>
      <c r="C414" s="10">
        <v>20</v>
      </c>
      <c r="D414" s="10">
        <v>6</v>
      </c>
      <c r="E414" s="10">
        <v>0.5</v>
      </c>
      <c r="F414" s="11" t="s">
        <v>15</v>
      </c>
      <c r="G414" s="10" t="s">
        <v>32</v>
      </c>
    </row>
    <row r="415" spans="1:7" x14ac:dyDescent="0.2">
      <c r="A415" s="10" t="s">
        <v>12</v>
      </c>
      <c r="B415" s="10" t="s">
        <v>288</v>
      </c>
      <c r="C415" s="10">
        <v>22</v>
      </c>
      <c r="D415" s="10">
        <v>7</v>
      </c>
      <c r="E415" s="10">
        <v>0.5</v>
      </c>
      <c r="F415" s="11" t="s">
        <v>15</v>
      </c>
      <c r="G415" s="10" t="s">
        <v>32</v>
      </c>
    </row>
    <row r="416" spans="1:7" x14ac:dyDescent="0.2">
      <c r="A416" s="10"/>
      <c r="B416" s="10"/>
      <c r="C416" s="10"/>
      <c r="D416" s="10"/>
      <c r="E416" s="10"/>
      <c r="F416" s="11"/>
      <c r="G416" s="11"/>
    </row>
    <row r="417" spans="1:7" x14ac:dyDescent="0.2">
      <c r="A417" s="10" t="s">
        <v>12</v>
      </c>
      <c r="B417" s="10" t="s">
        <v>288</v>
      </c>
      <c r="C417" s="10">
        <v>4</v>
      </c>
      <c r="D417" s="10">
        <v>2</v>
      </c>
      <c r="E417" s="10">
        <v>0.3</v>
      </c>
      <c r="F417" s="10">
        <v>79231.915139107499</v>
      </c>
      <c r="G417" s="10">
        <v>265.85000000000002</v>
      </c>
    </row>
    <row r="418" spans="1:7" x14ac:dyDescent="0.2">
      <c r="A418" s="10" t="s">
        <v>12</v>
      </c>
      <c r="B418" s="10" t="s">
        <v>288</v>
      </c>
      <c r="C418" s="10">
        <v>6</v>
      </c>
      <c r="D418" s="10">
        <v>2</v>
      </c>
      <c r="E418" s="10">
        <v>0.3</v>
      </c>
      <c r="F418" s="10">
        <v>91576.418199999898</v>
      </c>
      <c r="G418" s="10">
        <v>788.86</v>
      </c>
    </row>
    <row r="419" spans="1:7" x14ac:dyDescent="0.2">
      <c r="A419" s="10" t="s">
        <v>12</v>
      </c>
      <c r="B419" s="10" t="s">
        <v>288</v>
      </c>
      <c r="C419" s="10">
        <v>8</v>
      </c>
      <c r="D419" s="10">
        <v>3</v>
      </c>
      <c r="E419" s="10">
        <v>0.3</v>
      </c>
      <c r="F419" s="10">
        <v>159631.43640000001</v>
      </c>
      <c r="G419" s="10">
        <v>3642.08</v>
      </c>
    </row>
    <row r="420" spans="1:7" x14ac:dyDescent="0.2">
      <c r="A420" s="10" t="s">
        <v>12</v>
      </c>
      <c r="B420" s="10" t="s">
        <v>288</v>
      </c>
      <c r="C420" s="10">
        <v>10</v>
      </c>
      <c r="D420" s="10" t="s">
        <v>25</v>
      </c>
      <c r="E420" s="10">
        <v>0.3</v>
      </c>
      <c r="F420" s="10">
        <v>220874.06120005099</v>
      </c>
      <c r="G420" s="10">
        <v>3700.1</v>
      </c>
    </row>
    <row r="421" spans="1:7" x14ac:dyDescent="0.2">
      <c r="A421" s="10" t="s">
        <v>12</v>
      </c>
      <c r="B421" s="10" t="s">
        <v>288</v>
      </c>
      <c r="C421" s="10">
        <v>12</v>
      </c>
      <c r="D421" s="10">
        <v>4</v>
      </c>
      <c r="E421" s="10">
        <v>0.3</v>
      </c>
      <c r="F421" s="11" t="s">
        <v>15</v>
      </c>
      <c r="G421" s="10" t="s">
        <v>32</v>
      </c>
    </row>
    <row r="422" spans="1:7" x14ac:dyDescent="0.2">
      <c r="A422" s="10" t="s">
        <v>12</v>
      </c>
      <c r="B422" s="10" t="s">
        <v>288</v>
      </c>
      <c r="C422" s="10">
        <v>14</v>
      </c>
      <c r="D422" s="10">
        <v>4</v>
      </c>
      <c r="E422" s="10">
        <v>0.3</v>
      </c>
      <c r="F422" s="11" t="s">
        <v>15</v>
      </c>
      <c r="G422" s="10" t="s">
        <v>32</v>
      </c>
    </row>
    <row r="423" spans="1:7" x14ac:dyDescent="0.2">
      <c r="A423" s="10" t="s">
        <v>12</v>
      </c>
      <c r="B423" s="10" t="s">
        <v>288</v>
      </c>
      <c r="C423" s="10">
        <v>16</v>
      </c>
      <c r="D423" s="10">
        <v>5</v>
      </c>
      <c r="E423" s="10">
        <v>0.3</v>
      </c>
      <c r="F423" s="11" t="s">
        <v>15</v>
      </c>
      <c r="G423" s="10" t="s">
        <v>32</v>
      </c>
    </row>
    <row r="424" spans="1:7" x14ac:dyDescent="0.2">
      <c r="A424" s="10" t="s">
        <v>12</v>
      </c>
      <c r="B424" s="10" t="s">
        <v>288</v>
      </c>
      <c r="C424" s="10">
        <v>18</v>
      </c>
      <c r="D424" s="10" t="s">
        <v>29</v>
      </c>
      <c r="E424" s="10">
        <v>0.3</v>
      </c>
      <c r="F424" s="11" t="s">
        <v>15</v>
      </c>
      <c r="G424" s="10" t="s">
        <v>32</v>
      </c>
    </row>
    <row r="425" spans="1:7" x14ac:dyDescent="0.2">
      <c r="A425" s="10" t="s">
        <v>12</v>
      </c>
      <c r="B425" s="10" t="s">
        <v>288</v>
      </c>
      <c r="C425" s="10">
        <v>20</v>
      </c>
      <c r="D425" s="10">
        <v>6</v>
      </c>
      <c r="E425" s="10">
        <v>0.3</v>
      </c>
      <c r="F425" s="11" t="s">
        <v>15</v>
      </c>
      <c r="G425" s="10" t="s">
        <v>32</v>
      </c>
    </row>
    <row r="426" spans="1:7" x14ac:dyDescent="0.2">
      <c r="A426" s="10" t="s">
        <v>12</v>
      </c>
      <c r="B426" s="10" t="s">
        <v>288</v>
      </c>
      <c r="C426" s="10">
        <v>22</v>
      </c>
      <c r="D426" s="10">
        <v>7</v>
      </c>
      <c r="E426" s="10">
        <v>0.3</v>
      </c>
      <c r="F426" s="11" t="s">
        <v>15</v>
      </c>
      <c r="G426" s="10" t="s">
        <v>32</v>
      </c>
    </row>
    <row r="427" spans="1:7" x14ac:dyDescent="0.2">
      <c r="A427" s="10"/>
      <c r="B427" s="10"/>
      <c r="C427" s="10"/>
      <c r="D427" s="10"/>
      <c r="E427" s="10"/>
      <c r="F427" s="10"/>
      <c r="G427" s="10"/>
    </row>
    <row r="428" spans="1:7" x14ac:dyDescent="0.2">
      <c r="A428" s="10" t="s">
        <v>13</v>
      </c>
      <c r="B428" s="10" t="s">
        <v>288</v>
      </c>
      <c r="C428" s="10">
        <v>4</v>
      </c>
      <c r="D428" s="10">
        <v>2</v>
      </c>
      <c r="E428" s="10">
        <v>1</v>
      </c>
      <c r="F428" s="10">
        <v>62281.811999999998</v>
      </c>
      <c r="G428" s="10">
        <v>136.88</v>
      </c>
    </row>
    <row r="429" spans="1:7" x14ac:dyDescent="0.2">
      <c r="A429" s="10" t="s">
        <v>13</v>
      </c>
      <c r="B429" s="10" t="s">
        <v>288</v>
      </c>
      <c r="C429" s="10">
        <v>6</v>
      </c>
      <c r="D429" s="10">
        <v>3</v>
      </c>
      <c r="E429" s="10">
        <v>1</v>
      </c>
      <c r="F429" s="10">
        <v>94057.368054999999</v>
      </c>
      <c r="G429" s="10">
        <v>2799.16</v>
      </c>
    </row>
    <row r="430" spans="1:7" x14ac:dyDescent="0.2">
      <c r="A430" s="10" t="s">
        <v>13</v>
      </c>
      <c r="B430" s="10" t="s">
        <v>288</v>
      </c>
      <c r="C430" s="10">
        <v>8</v>
      </c>
      <c r="D430" s="10">
        <v>3</v>
      </c>
      <c r="E430" s="10">
        <v>1</v>
      </c>
      <c r="F430" s="10">
        <v>115807.01967379601</v>
      </c>
      <c r="G430" s="10">
        <v>3651.1</v>
      </c>
    </row>
    <row r="431" spans="1:7" x14ac:dyDescent="0.2">
      <c r="A431" s="10" t="s">
        <v>13</v>
      </c>
      <c r="B431" s="10" t="s">
        <v>288</v>
      </c>
      <c r="C431" s="10">
        <v>10</v>
      </c>
      <c r="D431" s="10">
        <v>4</v>
      </c>
      <c r="E431" s="10">
        <v>1</v>
      </c>
      <c r="F431" s="10">
        <v>134336.18400000001</v>
      </c>
      <c r="G431" s="10">
        <v>3704.16</v>
      </c>
    </row>
    <row r="432" spans="1:7" x14ac:dyDescent="0.2">
      <c r="A432" s="10" t="s">
        <v>13</v>
      </c>
      <c r="B432" s="10" t="s">
        <v>288</v>
      </c>
      <c r="C432" s="10">
        <v>12</v>
      </c>
      <c r="D432" s="10">
        <v>4</v>
      </c>
      <c r="E432" s="10">
        <v>1</v>
      </c>
      <c r="F432" s="10">
        <v>154605.323999999</v>
      </c>
      <c r="G432" s="10">
        <v>3741.08</v>
      </c>
    </row>
    <row r="433" spans="1:7" x14ac:dyDescent="0.2">
      <c r="A433" s="10" t="s">
        <v>13</v>
      </c>
      <c r="B433" s="10" t="s">
        <v>288</v>
      </c>
      <c r="C433" s="10">
        <v>14</v>
      </c>
      <c r="D433" s="10">
        <v>5</v>
      </c>
      <c r="E433" s="10">
        <v>1</v>
      </c>
      <c r="F433" s="10">
        <v>183182.84400000001</v>
      </c>
      <c r="G433" s="10">
        <v>3835.76</v>
      </c>
    </row>
    <row r="434" spans="1:7" x14ac:dyDescent="0.2">
      <c r="A434" s="10" t="s">
        <v>13</v>
      </c>
      <c r="B434" s="10" t="s">
        <v>288</v>
      </c>
      <c r="C434" s="10">
        <v>16</v>
      </c>
      <c r="D434" s="10">
        <v>5</v>
      </c>
      <c r="E434" s="10">
        <v>1</v>
      </c>
      <c r="F434" s="10">
        <v>185364.96</v>
      </c>
      <c r="G434" s="10">
        <v>3890.59</v>
      </c>
    </row>
    <row r="435" spans="1:7" x14ac:dyDescent="0.2">
      <c r="A435" s="10" t="s">
        <v>13</v>
      </c>
      <c r="B435" s="10" t="s">
        <v>288</v>
      </c>
      <c r="C435" s="10">
        <v>18</v>
      </c>
      <c r="D435" s="10">
        <v>6</v>
      </c>
      <c r="E435" s="10">
        <v>1</v>
      </c>
      <c r="F435" s="10">
        <v>207691.114728427</v>
      </c>
      <c r="G435" s="10">
        <v>4026.15</v>
      </c>
    </row>
    <row r="436" spans="1:7" x14ac:dyDescent="0.2">
      <c r="A436" s="10" t="s">
        <v>13</v>
      </c>
      <c r="B436" s="10" t="s">
        <v>288</v>
      </c>
      <c r="C436" s="10">
        <v>20</v>
      </c>
      <c r="D436" s="10">
        <v>6</v>
      </c>
      <c r="E436" s="10">
        <v>1</v>
      </c>
      <c r="F436" s="10">
        <v>234967.992</v>
      </c>
      <c r="G436" s="10">
        <v>4139.28</v>
      </c>
    </row>
    <row r="437" spans="1:7" x14ac:dyDescent="0.2">
      <c r="A437" s="10" t="s">
        <v>13</v>
      </c>
      <c r="B437" s="10" t="s">
        <v>288</v>
      </c>
      <c r="C437" s="10">
        <v>22</v>
      </c>
      <c r="D437" s="10">
        <v>7</v>
      </c>
      <c r="E437" s="10">
        <v>1</v>
      </c>
      <c r="F437" s="11" t="s">
        <v>15</v>
      </c>
      <c r="G437" s="10" t="s">
        <v>32</v>
      </c>
    </row>
    <row r="438" spans="1:7" x14ac:dyDescent="0.2">
      <c r="A438" s="10"/>
      <c r="B438" s="10"/>
      <c r="C438" s="10"/>
      <c r="D438" s="10"/>
      <c r="E438" s="10"/>
      <c r="F438" s="11"/>
      <c r="G438" s="10"/>
    </row>
    <row r="439" spans="1:7" x14ac:dyDescent="0.2">
      <c r="A439" s="10" t="s">
        <v>13</v>
      </c>
      <c r="B439" s="10" t="s">
        <v>288</v>
      </c>
      <c r="C439" s="10">
        <v>4</v>
      </c>
      <c r="D439" s="10">
        <v>2</v>
      </c>
      <c r="E439" s="10">
        <v>0.5</v>
      </c>
      <c r="F439" s="10">
        <v>76692.344630000007</v>
      </c>
      <c r="G439" s="10">
        <v>209.75</v>
      </c>
    </row>
    <row r="440" spans="1:7" x14ac:dyDescent="0.2">
      <c r="A440" s="10" t="s">
        <v>13</v>
      </c>
      <c r="B440" s="10" t="s">
        <v>288</v>
      </c>
      <c r="C440" s="10">
        <v>6</v>
      </c>
      <c r="D440" s="10">
        <v>3</v>
      </c>
      <c r="E440" s="10">
        <v>0.5</v>
      </c>
      <c r="F440" s="10">
        <v>118477.899768036</v>
      </c>
      <c r="G440" s="10">
        <v>3628.42</v>
      </c>
    </row>
    <row r="441" spans="1:7" x14ac:dyDescent="0.2">
      <c r="A441" s="10" t="s">
        <v>13</v>
      </c>
      <c r="B441" s="10" t="s">
        <v>288</v>
      </c>
      <c r="C441" s="10">
        <v>8</v>
      </c>
      <c r="D441" s="10">
        <v>3</v>
      </c>
      <c r="E441" s="10">
        <v>0.5</v>
      </c>
      <c r="F441" s="10">
        <v>148758.69289305201</v>
      </c>
      <c r="G441" s="10">
        <v>3644.92</v>
      </c>
    </row>
    <row r="442" spans="1:7" x14ac:dyDescent="0.2">
      <c r="A442" s="10" t="s">
        <v>13</v>
      </c>
      <c r="B442" s="10" t="s">
        <v>288</v>
      </c>
      <c r="C442" s="10">
        <v>10</v>
      </c>
      <c r="D442" s="10">
        <v>4</v>
      </c>
      <c r="E442" s="10">
        <v>0.5</v>
      </c>
      <c r="F442" s="10">
        <v>170245.620999999</v>
      </c>
      <c r="G442" s="10">
        <v>3703.19</v>
      </c>
    </row>
    <row r="443" spans="1:7" x14ac:dyDescent="0.2">
      <c r="A443" s="10" t="s">
        <v>13</v>
      </c>
      <c r="B443" s="10" t="s">
        <v>288</v>
      </c>
      <c r="C443" s="10">
        <v>12</v>
      </c>
      <c r="D443" s="10">
        <v>4</v>
      </c>
      <c r="E443" s="10">
        <v>0.5</v>
      </c>
      <c r="F443" s="11" t="s">
        <v>15</v>
      </c>
      <c r="G443" s="10" t="s">
        <v>32</v>
      </c>
    </row>
    <row r="444" spans="1:7" x14ac:dyDescent="0.2">
      <c r="A444" s="10" t="s">
        <v>13</v>
      </c>
      <c r="B444" s="10" t="s">
        <v>288</v>
      </c>
      <c r="C444" s="10">
        <v>14</v>
      </c>
      <c r="D444" s="10">
        <v>5</v>
      </c>
      <c r="E444" s="10">
        <v>0.5</v>
      </c>
      <c r="F444" s="11" t="s">
        <v>15</v>
      </c>
      <c r="G444" s="10" t="s">
        <v>32</v>
      </c>
    </row>
    <row r="445" spans="1:7" x14ac:dyDescent="0.2">
      <c r="A445" s="10" t="s">
        <v>13</v>
      </c>
      <c r="B445" s="10" t="s">
        <v>288</v>
      </c>
      <c r="C445" s="10">
        <v>16</v>
      </c>
      <c r="D445" s="10">
        <v>5</v>
      </c>
      <c r="E445" s="10">
        <v>0.5</v>
      </c>
      <c r="F445" s="11" t="s">
        <v>15</v>
      </c>
      <c r="G445" s="10" t="s">
        <v>32</v>
      </c>
    </row>
    <row r="446" spans="1:7" x14ac:dyDescent="0.2">
      <c r="A446" s="10" t="s">
        <v>13</v>
      </c>
      <c r="B446" s="10" t="s">
        <v>288</v>
      </c>
      <c r="C446" s="10">
        <v>18</v>
      </c>
      <c r="D446" s="10">
        <v>6</v>
      </c>
      <c r="E446" s="10">
        <v>0.5</v>
      </c>
      <c r="F446" s="11" t="s">
        <v>15</v>
      </c>
      <c r="G446" s="10" t="s">
        <v>32</v>
      </c>
    </row>
    <row r="447" spans="1:7" x14ac:dyDescent="0.2">
      <c r="A447" s="10" t="s">
        <v>13</v>
      </c>
      <c r="B447" s="10" t="s">
        <v>288</v>
      </c>
      <c r="C447" s="10">
        <v>20</v>
      </c>
      <c r="D447" s="10">
        <v>6</v>
      </c>
      <c r="E447" s="10">
        <v>0.5</v>
      </c>
      <c r="F447" s="11" t="s">
        <v>15</v>
      </c>
      <c r="G447" s="10" t="s">
        <v>32</v>
      </c>
    </row>
    <row r="448" spans="1:7" x14ac:dyDescent="0.2">
      <c r="A448" s="10" t="s">
        <v>13</v>
      </c>
      <c r="B448" s="10" t="s">
        <v>288</v>
      </c>
      <c r="C448" s="10">
        <v>22</v>
      </c>
      <c r="D448" s="10">
        <v>7</v>
      </c>
      <c r="E448" s="10">
        <v>0.5</v>
      </c>
      <c r="F448" s="11" t="s">
        <v>15</v>
      </c>
      <c r="G448" s="10" t="s">
        <v>32</v>
      </c>
    </row>
    <row r="449" spans="1:7" x14ac:dyDescent="0.2">
      <c r="A449" s="10"/>
      <c r="B449" s="10"/>
      <c r="C449" s="10"/>
      <c r="D449" s="10"/>
      <c r="E449" s="10"/>
      <c r="F449" s="11"/>
      <c r="G449" s="11"/>
    </row>
    <row r="450" spans="1:7" x14ac:dyDescent="0.2">
      <c r="A450" s="10" t="s">
        <v>13</v>
      </c>
      <c r="B450" s="10" t="s">
        <v>288</v>
      </c>
      <c r="C450" s="10">
        <v>4</v>
      </c>
      <c r="D450" s="10" t="s">
        <v>28</v>
      </c>
      <c r="E450" s="10">
        <v>0.3</v>
      </c>
      <c r="F450" s="10">
        <v>126686.74942455201</v>
      </c>
      <c r="G450" s="10">
        <v>3619.66</v>
      </c>
    </row>
    <row r="451" spans="1:7" x14ac:dyDescent="0.2">
      <c r="A451" s="10" t="s">
        <v>13</v>
      </c>
      <c r="B451" s="10" t="s">
        <v>288</v>
      </c>
      <c r="C451" s="10">
        <v>6</v>
      </c>
      <c r="D451" s="10" t="s">
        <v>25</v>
      </c>
      <c r="E451" s="10">
        <v>0.3</v>
      </c>
      <c r="F451" s="11" t="s">
        <v>15</v>
      </c>
      <c r="G451" s="10" t="s">
        <v>32</v>
      </c>
    </row>
    <row r="452" spans="1:7" x14ac:dyDescent="0.2">
      <c r="A452" s="10" t="s">
        <v>13</v>
      </c>
      <c r="B452" s="10" t="s">
        <v>288</v>
      </c>
      <c r="C452" s="10">
        <v>8</v>
      </c>
      <c r="D452" s="10">
        <v>3</v>
      </c>
      <c r="E452" s="10">
        <v>0.3</v>
      </c>
      <c r="F452" s="10">
        <v>182590.77932648599</v>
      </c>
      <c r="G452" s="10">
        <v>3644.27</v>
      </c>
    </row>
    <row r="453" spans="1:7" x14ac:dyDescent="0.2">
      <c r="A453" s="10" t="s">
        <v>13</v>
      </c>
      <c r="B453" s="10" t="s">
        <v>288</v>
      </c>
      <c r="C453" s="10">
        <v>10</v>
      </c>
      <c r="D453" s="10">
        <v>4</v>
      </c>
      <c r="E453" s="10">
        <v>0.3</v>
      </c>
      <c r="F453" s="10">
        <v>230741.36774999401</v>
      </c>
      <c r="G453" s="10">
        <v>3704.34</v>
      </c>
    </row>
    <row r="454" spans="1:7" x14ac:dyDescent="0.2">
      <c r="A454" s="10" t="s">
        <v>13</v>
      </c>
      <c r="B454" s="10" t="s">
        <v>288</v>
      </c>
      <c r="C454" s="10">
        <v>12</v>
      </c>
      <c r="D454" s="10">
        <v>4</v>
      </c>
      <c r="E454" s="10">
        <v>0.3</v>
      </c>
      <c r="F454" s="11" t="s">
        <v>15</v>
      </c>
      <c r="G454" s="10" t="s">
        <v>32</v>
      </c>
    </row>
    <row r="455" spans="1:7" x14ac:dyDescent="0.2">
      <c r="A455" s="10" t="s">
        <v>13</v>
      </c>
      <c r="B455" s="10" t="s">
        <v>288</v>
      </c>
      <c r="C455" s="10">
        <v>14</v>
      </c>
      <c r="D455" s="10">
        <v>5</v>
      </c>
      <c r="E455" s="10">
        <v>0.3</v>
      </c>
      <c r="F455" s="11" t="s">
        <v>15</v>
      </c>
      <c r="G455" s="10" t="s">
        <v>32</v>
      </c>
    </row>
    <row r="456" spans="1:7" x14ac:dyDescent="0.2">
      <c r="A456" s="10" t="s">
        <v>13</v>
      </c>
      <c r="B456" s="10" t="s">
        <v>288</v>
      </c>
      <c r="C456" s="10">
        <v>16</v>
      </c>
      <c r="D456" s="10">
        <v>5</v>
      </c>
      <c r="E456" s="10">
        <v>0.3</v>
      </c>
      <c r="F456" s="11" t="s">
        <v>15</v>
      </c>
      <c r="G456" s="10" t="s">
        <v>32</v>
      </c>
    </row>
    <row r="457" spans="1:7" x14ac:dyDescent="0.2">
      <c r="A457" s="10" t="s">
        <v>13</v>
      </c>
      <c r="B457" s="10" t="s">
        <v>288</v>
      </c>
      <c r="C457" s="10">
        <v>18</v>
      </c>
      <c r="D457" s="10">
        <v>6</v>
      </c>
      <c r="E457" s="10">
        <v>0.3</v>
      </c>
      <c r="F457" s="11" t="s">
        <v>15</v>
      </c>
      <c r="G457" s="10" t="s">
        <v>32</v>
      </c>
    </row>
    <row r="458" spans="1:7" x14ac:dyDescent="0.2">
      <c r="A458" s="10" t="s">
        <v>13</v>
      </c>
      <c r="B458" s="10" t="s">
        <v>288</v>
      </c>
      <c r="C458" s="10">
        <v>20</v>
      </c>
      <c r="D458" s="10">
        <v>6</v>
      </c>
      <c r="E458" s="10">
        <v>0.3</v>
      </c>
      <c r="F458" s="11" t="s">
        <v>15</v>
      </c>
      <c r="G458" s="10" t="s">
        <v>32</v>
      </c>
    </row>
    <row r="459" spans="1:7" x14ac:dyDescent="0.2">
      <c r="A459" s="10" t="s">
        <v>13</v>
      </c>
      <c r="B459" s="10" t="s">
        <v>288</v>
      </c>
      <c r="C459" s="10">
        <v>22</v>
      </c>
      <c r="D459" s="10">
        <v>7</v>
      </c>
      <c r="E459" s="10">
        <v>0.3</v>
      </c>
      <c r="F459" s="11" t="s">
        <v>15</v>
      </c>
      <c r="G459" s="10" t="s">
        <v>32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C1DE14-DF60-104A-9221-5DF151FF42A9}">
  <dimension ref="A2:G540"/>
  <sheetViews>
    <sheetView topLeftCell="A748" zoomScale="75" workbookViewId="0">
      <selection activeCell="D31" sqref="D31"/>
    </sheetView>
  </sheetViews>
  <sheetFormatPr baseColWidth="10" defaultRowHeight="16" x14ac:dyDescent="0.2"/>
  <cols>
    <col min="1" max="1" width="16.1640625" customWidth="1"/>
  </cols>
  <sheetData>
    <row r="2" spans="1:7" s="77" customFormat="1" ht="27" x14ac:dyDescent="0.35">
      <c r="A2" s="77" t="s">
        <v>299</v>
      </c>
    </row>
    <row r="4" spans="1:7" x14ac:dyDescent="0.2">
      <c r="A4" t="s">
        <v>2</v>
      </c>
      <c r="B4" t="s">
        <v>3</v>
      </c>
      <c r="C4" t="s">
        <v>4</v>
      </c>
      <c r="D4" t="s">
        <v>33</v>
      </c>
      <c r="E4" t="s">
        <v>23</v>
      </c>
      <c r="F4" t="s">
        <v>34</v>
      </c>
      <c r="G4" t="s">
        <v>7</v>
      </c>
    </row>
    <row r="5" spans="1:7" x14ac:dyDescent="0.2">
      <c r="A5" s="10" t="s">
        <v>9</v>
      </c>
      <c r="B5" s="10" t="s">
        <v>289</v>
      </c>
      <c r="C5" s="10">
        <v>4</v>
      </c>
      <c r="D5" s="10">
        <v>2</v>
      </c>
      <c r="E5" s="10">
        <v>1</v>
      </c>
      <c r="F5" s="10">
        <v>55302.648000000001</v>
      </c>
      <c r="G5" s="10">
        <v>18.851193750000601</v>
      </c>
    </row>
    <row r="6" spans="1:7" x14ac:dyDescent="0.2">
      <c r="A6" s="10" t="s">
        <v>9</v>
      </c>
      <c r="B6" s="10" t="s">
        <v>289</v>
      </c>
      <c r="C6" s="10">
        <v>6</v>
      </c>
      <c r="D6" s="10">
        <v>2</v>
      </c>
      <c r="E6" s="10">
        <v>1</v>
      </c>
      <c r="F6" s="10">
        <v>85320.096109999693</v>
      </c>
      <c r="G6" s="10">
        <v>23.503628541999198</v>
      </c>
    </row>
    <row r="7" spans="1:7" x14ac:dyDescent="0.2">
      <c r="A7" s="10" t="s">
        <v>9</v>
      </c>
      <c r="B7" s="10" t="s">
        <v>289</v>
      </c>
      <c r="C7" s="10">
        <v>8</v>
      </c>
      <c r="D7" s="10">
        <v>3</v>
      </c>
      <c r="E7" s="10">
        <v>1</v>
      </c>
      <c r="F7" s="10">
        <v>120256.320109999</v>
      </c>
      <c r="G7" s="10">
        <v>29.039053707998299</v>
      </c>
    </row>
    <row r="8" spans="1:7" x14ac:dyDescent="0.2">
      <c r="A8" s="10" t="s">
        <v>9</v>
      </c>
      <c r="B8" s="10" t="s">
        <v>289</v>
      </c>
      <c r="C8" s="10">
        <v>10</v>
      </c>
      <c r="D8" s="10">
        <v>3</v>
      </c>
      <c r="E8" s="10">
        <v>1</v>
      </c>
      <c r="F8" s="10">
        <v>133149.34816499901</v>
      </c>
      <c r="G8" s="10">
        <v>40.1645165000009</v>
      </c>
    </row>
    <row r="9" spans="1:7" x14ac:dyDescent="0.2">
      <c r="A9" s="10" t="s">
        <v>9</v>
      </c>
      <c r="B9" s="10" t="s">
        <v>289</v>
      </c>
      <c r="C9" s="10">
        <v>12</v>
      </c>
      <c r="D9" s="10">
        <v>4</v>
      </c>
      <c r="E9" s="10">
        <v>1</v>
      </c>
      <c r="F9" s="10">
        <v>162949.77622</v>
      </c>
      <c r="G9" s="10">
        <v>84.329131916998406</v>
      </c>
    </row>
    <row r="10" spans="1:7" x14ac:dyDescent="0.2">
      <c r="A10" s="10" t="s">
        <v>9</v>
      </c>
      <c r="B10" s="10" t="s">
        <v>289</v>
      </c>
      <c r="C10" s="10">
        <v>14</v>
      </c>
      <c r="D10" s="10">
        <v>4</v>
      </c>
      <c r="E10" s="10">
        <v>1</v>
      </c>
      <c r="F10" s="10">
        <v>172929.97211</v>
      </c>
      <c r="G10" s="10">
        <v>194.059105415999</v>
      </c>
    </row>
    <row r="11" spans="1:7" x14ac:dyDescent="0.2">
      <c r="A11" s="10" t="s">
        <v>9</v>
      </c>
      <c r="B11" s="10" t="s">
        <v>289</v>
      </c>
      <c r="C11" s="10">
        <v>16</v>
      </c>
      <c r="D11" s="10">
        <v>5</v>
      </c>
      <c r="E11" s="10">
        <v>1</v>
      </c>
      <c r="F11" s="10">
        <v>211543.47622000001</v>
      </c>
      <c r="G11" s="10">
        <v>551.14548199999899</v>
      </c>
    </row>
    <row r="12" spans="1:7" x14ac:dyDescent="0.2">
      <c r="A12" s="10" t="s">
        <v>9</v>
      </c>
      <c r="B12" s="10" t="s">
        <v>289</v>
      </c>
      <c r="C12" s="10">
        <v>18</v>
      </c>
      <c r="D12" s="10">
        <v>6</v>
      </c>
      <c r="E12" s="10">
        <v>1</v>
      </c>
      <c r="F12" s="10">
        <v>244752.39610999901</v>
      </c>
      <c r="G12" s="10">
        <v>1293.1789409999899</v>
      </c>
    </row>
    <row r="13" spans="1:7" x14ac:dyDescent="0.2">
      <c r="A13" s="10" t="s">
        <v>9</v>
      </c>
      <c r="B13" s="10" t="s">
        <v>289</v>
      </c>
      <c r="C13" s="10">
        <v>20</v>
      </c>
      <c r="D13" s="10">
        <v>6</v>
      </c>
      <c r="E13" s="10">
        <v>1</v>
      </c>
      <c r="F13" s="10" t="s">
        <v>15</v>
      </c>
      <c r="G13" s="10" t="s">
        <v>32</v>
      </c>
    </row>
    <row r="14" spans="1:7" x14ac:dyDescent="0.2">
      <c r="A14" s="10" t="s">
        <v>9</v>
      </c>
      <c r="B14" s="10" t="s">
        <v>289</v>
      </c>
      <c r="C14" s="10">
        <v>22</v>
      </c>
      <c r="D14" s="10">
        <v>7</v>
      </c>
      <c r="E14" s="10">
        <v>1</v>
      </c>
      <c r="F14" s="10" t="s">
        <v>15</v>
      </c>
      <c r="G14" s="10" t="s">
        <v>32</v>
      </c>
    </row>
    <row r="15" spans="1:7" x14ac:dyDescent="0.2">
      <c r="A15" s="10"/>
      <c r="B15" s="10"/>
      <c r="C15" s="10"/>
      <c r="D15" s="10"/>
      <c r="E15" s="10"/>
      <c r="F15" s="11"/>
      <c r="G15" s="11"/>
    </row>
    <row r="16" spans="1:7" x14ac:dyDescent="0.2">
      <c r="A16" s="10" t="s">
        <v>9</v>
      </c>
      <c r="B16" s="10" t="s">
        <v>289</v>
      </c>
      <c r="C16" s="10">
        <v>4</v>
      </c>
      <c r="D16" s="10">
        <v>2</v>
      </c>
      <c r="E16" s="10">
        <v>0.5</v>
      </c>
      <c r="F16" s="10">
        <v>67976.171499999997</v>
      </c>
      <c r="G16" s="10">
        <v>18.510349750002199</v>
      </c>
    </row>
    <row r="17" spans="1:7" x14ac:dyDescent="0.2">
      <c r="A17" s="10" t="s">
        <v>9</v>
      </c>
      <c r="B17" s="10" t="s">
        <v>289</v>
      </c>
      <c r="C17" s="10">
        <v>6</v>
      </c>
      <c r="D17" s="10">
        <v>2</v>
      </c>
      <c r="E17" s="10">
        <v>0.5</v>
      </c>
      <c r="F17" s="10">
        <v>105663.867</v>
      </c>
      <c r="G17" s="10">
        <v>24.3366307919968</v>
      </c>
    </row>
    <row r="18" spans="1:7" x14ac:dyDescent="0.2">
      <c r="A18" s="10" t="s">
        <v>9</v>
      </c>
      <c r="B18" s="10" t="s">
        <v>289</v>
      </c>
      <c r="C18" s="10">
        <v>8</v>
      </c>
      <c r="D18" s="10">
        <v>3</v>
      </c>
      <c r="E18" s="10">
        <v>0.5</v>
      </c>
      <c r="F18" s="10">
        <v>152395.73149999999</v>
      </c>
      <c r="G18" s="10">
        <v>31.1863764579975</v>
      </c>
    </row>
    <row r="19" spans="1:7" x14ac:dyDescent="0.2">
      <c r="A19" s="10" t="s">
        <v>9</v>
      </c>
      <c r="B19" s="10" t="s">
        <v>289</v>
      </c>
      <c r="C19" s="10">
        <v>10</v>
      </c>
      <c r="D19" s="10">
        <v>3</v>
      </c>
      <c r="E19" s="10">
        <v>0.5</v>
      </c>
      <c r="F19" s="10">
        <v>179186.17124997301</v>
      </c>
      <c r="G19" s="10">
        <v>61.217876124999698</v>
      </c>
    </row>
    <row r="20" spans="1:7" x14ac:dyDescent="0.2">
      <c r="A20" s="10" t="s">
        <v>9</v>
      </c>
      <c r="B20" s="10" t="s">
        <v>289</v>
      </c>
      <c r="C20" s="10">
        <v>12</v>
      </c>
      <c r="D20" s="10">
        <v>4</v>
      </c>
      <c r="E20" s="10">
        <v>0.5</v>
      </c>
      <c r="F20" s="10">
        <v>210478.842</v>
      </c>
      <c r="G20" s="10">
        <v>147.058327958999</v>
      </c>
    </row>
    <row r="21" spans="1:7" x14ac:dyDescent="0.2">
      <c r="A21" s="10" t="s">
        <v>9</v>
      </c>
      <c r="B21" s="10" t="s">
        <v>289</v>
      </c>
      <c r="C21" s="10">
        <v>14</v>
      </c>
      <c r="D21" s="10">
        <v>4</v>
      </c>
      <c r="E21" s="10">
        <v>0.5</v>
      </c>
      <c r="F21" s="10">
        <v>232577.911499999</v>
      </c>
      <c r="G21" s="10">
        <v>330.28306787499901</v>
      </c>
    </row>
    <row r="22" spans="1:7" x14ac:dyDescent="0.2">
      <c r="A22" s="10" t="s">
        <v>9</v>
      </c>
      <c r="B22" s="10" t="s">
        <v>289</v>
      </c>
      <c r="C22" s="10">
        <v>16</v>
      </c>
      <c r="D22" s="10">
        <v>5</v>
      </c>
      <c r="E22" s="10">
        <v>0.5</v>
      </c>
      <c r="F22" s="10">
        <v>278422.32749999902</v>
      </c>
      <c r="G22" s="10">
        <v>889.21495791599898</v>
      </c>
    </row>
    <row r="23" spans="1:7" x14ac:dyDescent="0.2">
      <c r="A23" s="10" t="s">
        <v>9</v>
      </c>
      <c r="B23" s="10" t="s">
        <v>289</v>
      </c>
      <c r="C23" s="10">
        <v>18</v>
      </c>
      <c r="D23" s="10">
        <v>6</v>
      </c>
      <c r="E23" s="10">
        <v>0.5</v>
      </c>
      <c r="F23" s="10">
        <v>326640.87399999698</v>
      </c>
      <c r="G23" s="10">
        <v>1958.2312139159901</v>
      </c>
    </row>
    <row r="24" spans="1:7" x14ac:dyDescent="0.2">
      <c r="A24" s="10" t="s">
        <v>9</v>
      </c>
      <c r="B24" s="10" t="s">
        <v>289</v>
      </c>
      <c r="C24" s="10">
        <v>20</v>
      </c>
      <c r="D24" s="10">
        <v>6</v>
      </c>
      <c r="E24" s="10">
        <v>0.5</v>
      </c>
      <c r="F24" s="10" t="s">
        <v>15</v>
      </c>
      <c r="G24" s="10" t="s">
        <v>32</v>
      </c>
    </row>
    <row r="25" spans="1:7" x14ac:dyDescent="0.2">
      <c r="A25" s="10" t="s">
        <v>9</v>
      </c>
      <c r="B25" s="10" t="s">
        <v>289</v>
      </c>
      <c r="C25" s="10">
        <v>22</v>
      </c>
      <c r="D25" s="10">
        <v>7</v>
      </c>
      <c r="E25" s="10">
        <v>0.5</v>
      </c>
      <c r="F25" s="10" t="s">
        <v>15</v>
      </c>
      <c r="G25" s="10" t="s">
        <v>32</v>
      </c>
    </row>
    <row r="26" spans="1:7" x14ac:dyDescent="0.2">
      <c r="A26" s="10"/>
      <c r="B26" s="10"/>
      <c r="C26" s="10"/>
      <c r="D26" s="10"/>
      <c r="E26" s="10"/>
      <c r="F26" s="11"/>
      <c r="G26" s="11"/>
    </row>
    <row r="27" spans="1:7" x14ac:dyDescent="0.2">
      <c r="A27" s="10" t="s">
        <v>9</v>
      </c>
      <c r="B27" s="10" t="s">
        <v>289</v>
      </c>
      <c r="C27" s="10">
        <v>4</v>
      </c>
      <c r="D27" s="10">
        <v>2</v>
      </c>
      <c r="E27" s="10">
        <v>0.3</v>
      </c>
      <c r="F27" s="10">
        <v>75890.497399999993</v>
      </c>
      <c r="G27" s="10">
        <v>19.306857125000501</v>
      </c>
    </row>
    <row r="28" spans="1:7" x14ac:dyDescent="0.2">
      <c r="A28" s="10" t="s">
        <v>9</v>
      </c>
      <c r="B28" s="10" t="s">
        <v>289</v>
      </c>
      <c r="C28" s="10">
        <v>6</v>
      </c>
      <c r="D28" s="10">
        <v>2</v>
      </c>
      <c r="E28" s="10">
        <v>0.3</v>
      </c>
      <c r="F28" s="10">
        <v>137129.4767</v>
      </c>
      <c r="G28" s="10">
        <v>27.1744178750013</v>
      </c>
    </row>
    <row r="29" spans="1:7" x14ac:dyDescent="0.2">
      <c r="A29" s="10" t="s">
        <v>9</v>
      </c>
      <c r="B29" s="10" t="s">
        <v>289</v>
      </c>
      <c r="C29" s="10">
        <v>8</v>
      </c>
      <c r="D29" s="10">
        <v>3</v>
      </c>
      <c r="E29" s="10">
        <v>0.3</v>
      </c>
      <c r="F29" s="10">
        <v>213033.43075</v>
      </c>
      <c r="G29" s="10">
        <v>33.586795125000201</v>
      </c>
    </row>
    <row r="30" spans="1:7" x14ac:dyDescent="0.2">
      <c r="A30" s="10" t="s">
        <v>9</v>
      </c>
      <c r="B30" s="10" t="s">
        <v>289</v>
      </c>
      <c r="C30" s="10">
        <v>10</v>
      </c>
      <c r="D30" s="10" t="s">
        <v>25</v>
      </c>
      <c r="E30" s="10">
        <v>0.3</v>
      </c>
      <c r="F30" s="10">
        <v>249623.04479999901</v>
      </c>
      <c r="G30" s="10">
        <v>57.063172500002104</v>
      </c>
    </row>
    <row r="31" spans="1:7" x14ac:dyDescent="0.2">
      <c r="A31" s="10" t="s">
        <v>9</v>
      </c>
      <c r="B31" s="10" t="s">
        <v>289</v>
      </c>
      <c r="C31" s="10">
        <v>12</v>
      </c>
      <c r="D31" s="10">
        <v>4</v>
      </c>
      <c r="E31" s="10">
        <v>0.3</v>
      </c>
      <c r="F31" s="11" t="s">
        <v>15</v>
      </c>
      <c r="G31" s="10">
        <v>140.05325454200201</v>
      </c>
    </row>
    <row r="32" spans="1:7" x14ac:dyDescent="0.2">
      <c r="A32" s="10" t="s">
        <v>9</v>
      </c>
      <c r="B32" s="10" t="s">
        <v>289</v>
      </c>
      <c r="C32" s="10">
        <v>14</v>
      </c>
      <c r="D32" s="10" t="s">
        <v>26</v>
      </c>
      <c r="E32" s="10">
        <v>0.3</v>
      </c>
      <c r="F32" s="10">
        <v>331303.35699999903</v>
      </c>
      <c r="G32" s="10">
        <v>301.447244125</v>
      </c>
    </row>
    <row r="33" spans="1:7" x14ac:dyDescent="0.2">
      <c r="A33" s="10" t="s">
        <v>9</v>
      </c>
      <c r="B33" s="10" t="s">
        <v>289</v>
      </c>
      <c r="C33" s="10">
        <v>16</v>
      </c>
      <c r="D33" s="10">
        <v>5</v>
      </c>
      <c r="E33" s="10">
        <v>0.3</v>
      </c>
      <c r="F33" s="11" t="s">
        <v>15</v>
      </c>
      <c r="G33" s="10">
        <v>816.19348145799802</v>
      </c>
    </row>
    <row r="34" spans="1:7" x14ac:dyDescent="0.2">
      <c r="A34" s="10" t="s">
        <v>9</v>
      </c>
      <c r="B34" s="10" t="s">
        <v>289</v>
      </c>
      <c r="C34" s="10">
        <v>18</v>
      </c>
      <c r="D34" s="10">
        <v>6</v>
      </c>
      <c r="E34" s="10">
        <v>0.3</v>
      </c>
      <c r="F34" s="10">
        <v>426539.08048599103</v>
      </c>
      <c r="G34" s="10">
        <v>1826.17517612499</v>
      </c>
    </row>
    <row r="35" spans="1:7" x14ac:dyDescent="0.2">
      <c r="A35" s="10" t="s">
        <v>9</v>
      </c>
      <c r="B35" s="10" t="s">
        <v>289</v>
      </c>
      <c r="C35" s="10">
        <v>20</v>
      </c>
      <c r="D35" s="10" t="s">
        <v>27</v>
      </c>
      <c r="E35" s="10">
        <v>0.3</v>
      </c>
      <c r="F35" s="10" t="s">
        <v>15</v>
      </c>
      <c r="G35" s="10" t="s">
        <v>32</v>
      </c>
    </row>
    <row r="36" spans="1:7" x14ac:dyDescent="0.2">
      <c r="A36" s="10" t="s">
        <v>9</v>
      </c>
      <c r="B36" s="10" t="s">
        <v>289</v>
      </c>
      <c r="C36" s="10">
        <v>22</v>
      </c>
      <c r="D36" s="10">
        <v>7</v>
      </c>
      <c r="E36" s="10">
        <v>0.3</v>
      </c>
      <c r="F36" s="10" t="s">
        <v>15</v>
      </c>
      <c r="G36" s="10" t="s">
        <v>32</v>
      </c>
    </row>
    <row r="37" spans="1:7" x14ac:dyDescent="0.2">
      <c r="A37" s="10"/>
      <c r="B37" s="10"/>
      <c r="C37" s="10"/>
      <c r="D37" s="10"/>
      <c r="E37" s="10"/>
      <c r="F37" s="10"/>
      <c r="G37" s="10"/>
    </row>
    <row r="38" spans="1:7" x14ac:dyDescent="0.2">
      <c r="A38" s="10" t="s">
        <v>10</v>
      </c>
      <c r="B38" s="10" t="s">
        <v>289</v>
      </c>
      <c r="C38" s="10">
        <v>4</v>
      </c>
      <c r="D38" s="10">
        <v>1</v>
      </c>
      <c r="E38" s="10">
        <v>1</v>
      </c>
      <c r="F38" s="10">
        <v>49863.492055000002</v>
      </c>
      <c r="G38" s="10">
        <v>15.562669292001299</v>
      </c>
    </row>
    <row r="39" spans="1:7" x14ac:dyDescent="0.2">
      <c r="A39" s="10" t="s">
        <v>10</v>
      </c>
      <c r="B39" s="10" t="s">
        <v>289</v>
      </c>
      <c r="C39" s="10">
        <v>6</v>
      </c>
      <c r="D39" s="10">
        <v>2</v>
      </c>
      <c r="E39" s="10">
        <v>1</v>
      </c>
      <c r="F39" s="10">
        <v>90444.7561099999</v>
      </c>
      <c r="G39" s="10">
        <v>23.4507807910013</v>
      </c>
    </row>
    <row r="40" spans="1:7" x14ac:dyDescent="0.2">
      <c r="A40" s="10" t="s">
        <v>10</v>
      </c>
      <c r="B40" s="10" t="s">
        <v>289</v>
      </c>
      <c r="C40" s="10">
        <v>8</v>
      </c>
      <c r="D40" s="10">
        <v>3</v>
      </c>
      <c r="E40" s="10">
        <v>1</v>
      </c>
      <c r="F40" s="10">
        <v>114742.020055</v>
      </c>
      <c r="G40" s="10">
        <v>27.943214916998802</v>
      </c>
    </row>
    <row r="41" spans="1:7" x14ac:dyDescent="0.2">
      <c r="A41" s="10" t="s">
        <v>10</v>
      </c>
      <c r="B41" s="10" t="s">
        <v>289</v>
      </c>
      <c r="C41" s="10">
        <v>10</v>
      </c>
      <c r="D41" s="10">
        <v>3</v>
      </c>
      <c r="E41" s="10">
        <v>1</v>
      </c>
      <c r="F41" s="10">
        <v>143127.348</v>
      </c>
      <c r="G41" s="10">
        <v>48.606636625001499</v>
      </c>
    </row>
    <row r="42" spans="1:7" x14ac:dyDescent="0.2">
      <c r="A42" s="10" t="s">
        <v>10</v>
      </c>
      <c r="B42" s="10" t="s">
        <v>289</v>
      </c>
      <c r="C42" s="10">
        <v>12</v>
      </c>
      <c r="D42" s="10">
        <v>4</v>
      </c>
      <c r="E42" s="10">
        <v>1</v>
      </c>
      <c r="F42" s="10">
        <v>167489.50799999901</v>
      </c>
      <c r="G42" s="10">
        <v>133.24158974999901</v>
      </c>
    </row>
    <row r="43" spans="1:7" x14ac:dyDescent="0.2">
      <c r="A43" s="10" t="s">
        <v>10</v>
      </c>
      <c r="B43" s="10" t="s">
        <v>289</v>
      </c>
      <c r="C43" s="10">
        <v>14</v>
      </c>
      <c r="D43" s="10">
        <v>4</v>
      </c>
      <c r="E43" s="10">
        <v>1</v>
      </c>
      <c r="F43" s="10">
        <v>182135.16005499999</v>
      </c>
      <c r="G43" s="10">
        <v>482.785648500001</v>
      </c>
    </row>
    <row r="44" spans="1:7" x14ac:dyDescent="0.2">
      <c r="A44" s="10" t="s">
        <v>10</v>
      </c>
      <c r="B44" s="10" t="s">
        <v>289</v>
      </c>
      <c r="C44" s="10">
        <v>16</v>
      </c>
      <c r="D44" s="10">
        <v>5</v>
      </c>
      <c r="E44" s="10">
        <v>1</v>
      </c>
      <c r="F44" s="10">
        <v>213770.00416499999</v>
      </c>
      <c r="G44" s="10">
        <v>1280.5839155000001</v>
      </c>
    </row>
    <row r="45" spans="1:7" x14ac:dyDescent="0.2">
      <c r="A45" s="10" t="s">
        <v>10</v>
      </c>
      <c r="B45" s="10" t="s">
        <v>289</v>
      </c>
      <c r="C45" s="10">
        <v>18</v>
      </c>
      <c r="D45" s="10">
        <v>6</v>
      </c>
      <c r="E45" s="10">
        <v>1</v>
      </c>
      <c r="F45" s="11" t="s">
        <v>15</v>
      </c>
      <c r="G45" s="10" t="s">
        <v>32</v>
      </c>
    </row>
    <row r="46" spans="1:7" x14ac:dyDescent="0.2">
      <c r="A46" s="10" t="s">
        <v>10</v>
      </c>
      <c r="B46" s="10" t="s">
        <v>289</v>
      </c>
      <c r="C46" s="10">
        <v>20</v>
      </c>
      <c r="D46" s="10">
        <v>6</v>
      </c>
      <c r="E46" s="10">
        <v>1</v>
      </c>
      <c r="F46" s="10" t="s">
        <v>15</v>
      </c>
      <c r="G46" s="10" t="s">
        <v>32</v>
      </c>
    </row>
    <row r="47" spans="1:7" x14ac:dyDescent="0.2">
      <c r="A47" s="10" t="s">
        <v>10</v>
      </c>
      <c r="B47" s="10" t="s">
        <v>289</v>
      </c>
      <c r="C47" s="10">
        <v>22</v>
      </c>
      <c r="D47" s="10">
        <v>7</v>
      </c>
      <c r="E47" s="10">
        <v>1</v>
      </c>
      <c r="F47" s="10" t="s">
        <v>15</v>
      </c>
      <c r="G47" s="10" t="s">
        <v>32</v>
      </c>
    </row>
    <row r="48" spans="1:7" x14ac:dyDescent="0.2">
      <c r="A48" s="10"/>
      <c r="B48" s="10"/>
      <c r="C48" s="10"/>
      <c r="D48" s="10"/>
      <c r="E48" s="10"/>
      <c r="F48" s="10"/>
      <c r="G48" s="10"/>
    </row>
    <row r="49" spans="1:7" x14ac:dyDescent="0.2">
      <c r="A49" s="10" t="s">
        <v>10</v>
      </c>
      <c r="B49" s="10" t="s">
        <v>289</v>
      </c>
      <c r="C49" s="10">
        <v>4</v>
      </c>
      <c r="D49" s="10">
        <v>1</v>
      </c>
      <c r="E49" s="10">
        <v>0.5</v>
      </c>
      <c r="F49" s="10">
        <v>64370.666749999997</v>
      </c>
      <c r="G49" s="10">
        <v>16.8706063339996</v>
      </c>
    </row>
    <row r="50" spans="1:7" x14ac:dyDescent="0.2">
      <c r="A50" s="10" t="s">
        <v>10</v>
      </c>
      <c r="B50" s="10" t="s">
        <v>289</v>
      </c>
      <c r="C50" s="10">
        <v>6</v>
      </c>
      <c r="D50" s="10">
        <v>2</v>
      </c>
      <c r="E50" s="10">
        <v>0.5</v>
      </c>
      <c r="F50" s="10">
        <v>119164.232249999</v>
      </c>
      <c r="G50" s="10">
        <v>38.065753917002397</v>
      </c>
    </row>
    <row r="51" spans="1:7" x14ac:dyDescent="0.2">
      <c r="A51" s="10" t="s">
        <v>10</v>
      </c>
      <c r="B51" s="10" t="s">
        <v>289</v>
      </c>
      <c r="C51" s="10">
        <v>8</v>
      </c>
      <c r="D51" s="10">
        <v>3</v>
      </c>
      <c r="E51" s="10">
        <v>0.5</v>
      </c>
      <c r="F51" s="10">
        <v>175202.16675</v>
      </c>
      <c r="G51" s="10">
        <v>38.627970166999098</v>
      </c>
    </row>
    <row r="52" spans="1:7" x14ac:dyDescent="0.2">
      <c r="A52" s="10" t="s">
        <v>10</v>
      </c>
      <c r="B52" s="10" t="s">
        <v>289</v>
      </c>
      <c r="C52" s="10">
        <v>10</v>
      </c>
      <c r="D52" s="10">
        <v>3</v>
      </c>
      <c r="E52" s="10">
        <v>0.5</v>
      </c>
      <c r="F52" s="10">
        <v>192131.12524999899</v>
      </c>
      <c r="G52" s="10">
        <v>100.43715024999899</v>
      </c>
    </row>
    <row r="53" spans="1:7" x14ac:dyDescent="0.2">
      <c r="A53" s="10" t="s">
        <v>10</v>
      </c>
      <c r="B53" s="10" t="s">
        <v>289</v>
      </c>
      <c r="C53" s="10">
        <v>12</v>
      </c>
      <c r="D53" s="10">
        <v>4</v>
      </c>
      <c r="E53" s="10">
        <v>0.5</v>
      </c>
      <c r="F53" s="10">
        <v>223261.634499999</v>
      </c>
      <c r="G53" s="10">
        <v>288.03864354199999</v>
      </c>
    </row>
    <row r="54" spans="1:7" x14ac:dyDescent="0.2">
      <c r="A54" s="10" t="s">
        <v>10</v>
      </c>
      <c r="B54" s="10" t="s">
        <v>289</v>
      </c>
      <c r="C54" s="10">
        <v>14</v>
      </c>
      <c r="D54" s="10">
        <v>4</v>
      </c>
      <c r="E54" s="10">
        <v>0.5</v>
      </c>
      <c r="F54" s="10">
        <v>246318.87874999901</v>
      </c>
      <c r="G54" s="10">
        <v>944.636655875001</v>
      </c>
    </row>
    <row r="55" spans="1:7" x14ac:dyDescent="0.2">
      <c r="A55" s="10" t="s">
        <v>10</v>
      </c>
      <c r="B55" s="10" t="s">
        <v>289</v>
      </c>
      <c r="C55" s="10">
        <v>16</v>
      </c>
      <c r="D55" s="10">
        <v>5</v>
      </c>
      <c r="E55" s="10">
        <v>0.5</v>
      </c>
      <c r="F55" s="10">
        <v>279142.23074999597</v>
      </c>
      <c r="G55" s="10">
        <v>2156.0731305419999</v>
      </c>
    </row>
    <row r="56" spans="1:7" x14ac:dyDescent="0.2">
      <c r="A56" s="10" t="s">
        <v>10</v>
      </c>
      <c r="B56" s="10" t="s">
        <v>289</v>
      </c>
      <c r="C56" s="10">
        <v>18</v>
      </c>
      <c r="D56" s="10">
        <v>6</v>
      </c>
      <c r="E56" s="10">
        <v>0.5</v>
      </c>
      <c r="F56" s="10" t="s">
        <v>15</v>
      </c>
      <c r="G56" s="10" t="s">
        <v>32</v>
      </c>
    </row>
    <row r="57" spans="1:7" x14ac:dyDescent="0.2">
      <c r="A57" s="10" t="s">
        <v>10</v>
      </c>
      <c r="B57" s="10" t="s">
        <v>289</v>
      </c>
      <c r="C57" s="10">
        <v>20</v>
      </c>
      <c r="D57" s="10">
        <v>6</v>
      </c>
      <c r="E57" s="10">
        <v>0.5</v>
      </c>
      <c r="F57" s="10" t="s">
        <v>15</v>
      </c>
      <c r="G57" s="10" t="s">
        <v>32</v>
      </c>
    </row>
    <row r="58" spans="1:7" x14ac:dyDescent="0.2">
      <c r="A58" s="10" t="s">
        <v>10</v>
      </c>
      <c r="B58" s="10" t="s">
        <v>289</v>
      </c>
      <c r="C58" s="10">
        <v>22</v>
      </c>
      <c r="D58" s="10">
        <v>7</v>
      </c>
      <c r="E58" s="10">
        <v>0.5</v>
      </c>
      <c r="F58" s="10" t="s">
        <v>15</v>
      </c>
      <c r="G58" s="10" t="s">
        <v>32</v>
      </c>
    </row>
    <row r="59" spans="1:7" x14ac:dyDescent="0.2">
      <c r="A59" s="10"/>
      <c r="B59" s="10"/>
      <c r="C59" s="10"/>
      <c r="D59" s="10"/>
      <c r="E59" s="10"/>
      <c r="F59" s="10"/>
      <c r="G59" s="10"/>
    </row>
    <row r="60" spans="1:7" x14ac:dyDescent="0.2">
      <c r="A60" s="10" t="s">
        <v>10</v>
      </c>
      <c r="B60" s="10" t="s">
        <v>289</v>
      </c>
      <c r="C60" s="10">
        <v>4</v>
      </c>
      <c r="D60" s="10">
        <v>1</v>
      </c>
      <c r="E60" s="10">
        <v>0.3</v>
      </c>
      <c r="F60" s="10" t="s">
        <v>15</v>
      </c>
      <c r="G60" s="10">
        <v>13.7054470000002</v>
      </c>
    </row>
    <row r="61" spans="1:7" x14ac:dyDescent="0.2">
      <c r="A61" s="10" t="s">
        <v>10</v>
      </c>
      <c r="B61" s="10" t="s">
        <v>289</v>
      </c>
      <c r="C61" s="10">
        <v>6</v>
      </c>
      <c r="D61" s="10" t="s">
        <v>28</v>
      </c>
      <c r="E61" s="10">
        <v>0.3</v>
      </c>
      <c r="F61" s="10" t="s">
        <v>15</v>
      </c>
      <c r="G61" s="10">
        <v>19.283352208996799</v>
      </c>
    </row>
    <row r="62" spans="1:7" x14ac:dyDescent="0.2">
      <c r="A62" s="10" t="s">
        <v>10</v>
      </c>
      <c r="B62" s="10" t="s">
        <v>289</v>
      </c>
      <c r="C62" s="10">
        <v>8</v>
      </c>
      <c r="D62" s="10">
        <v>3</v>
      </c>
      <c r="E62" s="10">
        <v>0.3</v>
      </c>
      <c r="F62" s="10" t="s">
        <v>15</v>
      </c>
      <c r="G62" s="10">
        <v>28.039063708001699</v>
      </c>
    </row>
    <row r="63" spans="1:7" x14ac:dyDescent="0.2">
      <c r="A63" s="10" t="s">
        <v>10</v>
      </c>
      <c r="B63" s="10" t="s">
        <v>289</v>
      </c>
      <c r="C63" s="10">
        <v>10</v>
      </c>
      <c r="D63" s="10" t="s">
        <v>25</v>
      </c>
      <c r="E63" s="10">
        <v>0.3</v>
      </c>
      <c r="F63" s="10" t="s">
        <v>15</v>
      </c>
      <c r="G63" s="10">
        <v>86.708364875001195</v>
      </c>
    </row>
    <row r="64" spans="1:7" x14ac:dyDescent="0.2">
      <c r="A64" s="10" t="s">
        <v>10</v>
      </c>
      <c r="B64" s="10" t="s">
        <v>289</v>
      </c>
      <c r="C64" s="10">
        <v>12</v>
      </c>
      <c r="D64" s="10" t="s">
        <v>26</v>
      </c>
      <c r="E64" s="10">
        <v>0.3</v>
      </c>
      <c r="F64" s="10">
        <v>348935.89554999903</v>
      </c>
      <c r="G64" s="10">
        <v>306.17616545800001</v>
      </c>
    </row>
    <row r="65" spans="1:7" x14ac:dyDescent="0.2">
      <c r="A65" s="10" t="s">
        <v>10</v>
      </c>
      <c r="B65" s="10" t="s">
        <v>289</v>
      </c>
      <c r="C65" s="10">
        <v>14</v>
      </c>
      <c r="D65" s="10" t="s">
        <v>26</v>
      </c>
      <c r="E65" s="10">
        <v>0.3</v>
      </c>
      <c r="F65" s="10" t="s">
        <v>15</v>
      </c>
      <c r="G65" s="10">
        <v>834.48950241700004</v>
      </c>
    </row>
    <row r="66" spans="1:7" x14ac:dyDescent="0.2">
      <c r="A66" s="10" t="s">
        <v>10</v>
      </c>
      <c r="B66" s="10" t="s">
        <v>289</v>
      </c>
      <c r="C66" s="10">
        <v>16</v>
      </c>
      <c r="D66" s="10">
        <v>5</v>
      </c>
      <c r="E66" s="10">
        <v>0.3</v>
      </c>
      <c r="F66" s="10">
        <v>363561.81589999999</v>
      </c>
      <c r="G66" s="10">
        <v>1991.9382027500001</v>
      </c>
    </row>
    <row r="67" spans="1:7" x14ac:dyDescent="0.2">
      <c r="A67" s="10" t="s">
        <v>10</v>
      </c>
      <c r="B67" s="10" t="s">
        <v>289</v>
      </c>
      <c r="C67" s="10">
        <v>18</v>
      </c>
      <c r="D67" s="10">
        <v>6</v>
      </c>
      <c r="E67" s="10">
        <v>0.3</v>
      </c>
      <c r="F67" s="10" t="s">
        <v>15</v>
      </c>
      <c r="G67" s="10" t="s">
        <v>32</v>
      </c>
    </row>
    <row r="68" spans="1:7" x14ac:dyDescent="0.2">
      <c r="A68" s="10" t="s">
        <v>10</v>
      </c>
      <c r="B68" s="10" t="s">
        <v>289</v>
      </c>
      <c r="C68" s="10">
        <v>20</v>
      </c>
      <c r="D68" s="10" t="s">
        <v>27</v>
      </c>
      <c r="E68" s="10">
        <v>0.3</v>
      </c>
      <c r="F68" s="10" t="s">
        <v>15</v>
      </c>
      <c r="G68" s="10" t="s">
        <v>32</v>
      </c>
    </row>
    <row r="69" spans="1:7" x14ac:dyDescent="0.2">
      <c r="A69" s="10" t="s">
        <v>10</v>
      </c>
      <c r="B69" s="10" t="s">
        <v>289</v>
      </c>
      <c r="C69" s="10">
        <v>22</v>
      </c>
      <c r="D69" s="10">
        <v>7</v>
      </c>
      <c r="E69" s="10">
        <v>0.3</v>
      </c>
      <c r="F69" s="10" t="s">
        <v>15</v>
      </c>
      <c r="G69" s="10" t="s">
        <v>32</v>
      </c>
    </row>
    <row r="70" spans="1:7" x14ac:dyDescent="0.2">
      <c r="A70" s="10"/>
      <c r="B70" s="10"/>
      <c r="C70" s="10"/>
      <c r="D70" s="10"/>
      <c r="E70" s="10"/>
      <c r="F70" s="10"/>
      <c r="G70" s="10"/>
    </row>
    <row r="71" spans="1:7" x14ac:dyDescent="0.2">
      <c r="A71" s="10" t="s">
        <v>11</v>
      </c>
      <c r="B71" s="10" t="s">
        <v>289</v>
      </c>
      <c r="C71" s="10">
        <v>4</v>
      </c>
      <c r="D71" s="10">
        <v>1</v>
      </c>
      <c r="E71" s="10">
        <v>1</v>
      </c>
      <c r="F71" s="10">
        <v>48507.240055000002</v>
      </c>
      <c r="G71" s="10">
        <v>17.882419625006101</v>
      </c>
    </row>
    <row r="72" spans="1:7" x14ac:dyDescent="0.2">
      <c r="A72" s="10" t="s">
        <v>11</v>
      </c>
      <c r="B72" s="10" t="s">
        <v>289</v>
      </c>
      <c r="C72" s="10">
        <v>6</v>
      </c>
      <c r="D72" s="10">
        <v>2</v>
      </c>
      <c r="E72" s="10">
        <v>1</v>
      </c>
      <c r="F72" s="10">
        <v>78358.488054999994</v>
      </c>
      <c r="G72" s="10">
        <v>21.5784776670043</v>
      </c>
    </row>
    <row r="73" spans="1:7" x14ac:dyDescent="0.2">
      <c r="A73" s="10" t="s">
        <v>11</v>
      </c>
      <c r="B73" s="10" t="s">
        <v>289</v>
      </c>
      <c r="C73" s="10">
        <v>8</v>
      </c>
      <c r="D73" s="10">
        <v>3</v>
      </c>
      <c r="E73" s="10">
        <v>1</v>
      </c>
      <c r="F73" s="10">
        <v>113769.79210999999</v>
      </c>
      <c r="G73" s="10">
        <v>25.920693374995601</v>
      </c>
    </row>
    <row r="74" spans="1:7" x14ac:dyDescent="0.2">
      <c r="A74" s="10" t="s">
        <v>11</v>
      </c>
      <c r="B74" s="10" t="s">
        <v>289</v>
      </c>
      <c r="C74" s="10">
        <v>10</v>
      </c>
      <c r="D74" s="10">
        <v>3</v>
      </c>
      <c r="E74" s="10">
        <v>1</v>
      </c>
      <c r="F74" s="10">
        <v>135356.46005499901</v>
      </c>
      <c r="G74" s="10">
        <v>40.216461417003302</v>
      </c>
    </row>
    <row r="75" spans="1:7" x14ac:dyDescent="0.2">
      <c r="A75" s="10" t="s">
        <v>11</v>
      </c>
      <c r="B75" s="10" t="s">
        <v>289</v>
      </c>
      <c r="C75" s="10">
        <v>12</v>
      </c>
      <c r="D75" s="10">
        <v>4</v>
      </c>
      <c r="E75" s="10">
        <v>1</v>
      </c>
      <c r="F75" s="10">
        <v>156913.64410999999</v>
      </c>
      <c r="G75" s="10">
        <v>95.007494999998002</v>
      </c>
    </row>
    <row r="76" spans="1:7" x14ac:dyDescent="0.2">
      <c r="A76" s="10" t="s">
        <v>11</v>
      </c>
      <c r="B76" s="10" t="s">
        <v>289</v>
      </c>
      <c r="C76" s="10">
        <v>14</v>
      </c>
      <c r="D76" s="10">
        <v>4</v>
      </c>
      <c r="E76" s="10">
        <v>1</v>
      </c>
      <c r="F76" s="10">
        <v>166271.460165</v>
      </c>
      <c r="G76" s="10">
        <v>220.844057499998</v>
      </c>
    </row>
    <row r="77" spans="1:7" x14ac:dyDescent="0.2">
      <c r="A77" s="10" t="s">
        <v>11</v>
      </c>
      <c r="B77" s="10" t="s">
        <v>289</v>
      </c>
      <c r="C77" s="10">
        <v>16</v>
      </c>
      <c r="D77" s="10">
        <v>5</v>
      </c>
      <c r="E77" s="10">
        <v>1</v>
      </c>
      <c r="F77" s="10">
        <v>203972.38816499899</v>
      </c>
      <c r="G77" s="10">
        <v>1375.3313767499999</v>
      </c>
    </row>
    <row r="78" spans="1:7" x14ac:dyDescent="0.2">
      <c r="A78" s="10" t="s">
        <v>11</v>
      </c>
      <c r="B78" s="10" t="s">
        <v>289</v>
      </c>
      <c r="C78" s="10">
        <v>18</v>
      </c>
      <c r="D78" s="10">
        <v>5</v>
      </c>
      <c r="E78" s="10">
        <v>1</v>
      </c>
      <c r="F78" s="10" t="s">
        <v>15</v>
      </c>
      <c r="G78" s="10" t="s">
        <v>32</v>
      </c>
    </row>
    <row r="79" spans="1:7" x14ac:dyDescent="0.2">
      <c r="A79" s="10" t="s">
        <v>11</v>
      </c>
      <c r="B79" s="10" t="s">
        <v>289</v>
      </c>
      <c r="C79" s="10">
        <v>20</v>
      </c>
      <c r="D79" s="10">
        <v>6</v>
      </c>
      <c r="E79" s="10">
        <v>1</v>
      </c>
      <c r="F79" s="10" t="s">
        <v>15</v>
      </c>
      <c r="G79" s="10" t="s">
        <v>32</v>
      </c>
    </row>
    <row r="80" spans="1:7" x14ac:dyDescent="0.2">
      <c r="A80" s="10" t="s">
        <v>11</v>
      </c>
      <c r="B80" s="10" t="s">
        <v>289</v>
      </c>
      <c r="C80" s="10">
        <v>22</v>
      </c>
      <c r="D80" s="10">
        <v>7</v>
      </c>
      <c r="E80" s="10">
        <v>1</v>
      </c>
      <c r="F80" s="10" t="s">
        <v>15</v>
      </c>
      <c r="G80" s="10" t="s">
        <v>32</v>
      </c>
    </row>
    <row r="81" spans="1:7" x14ac:dyDescent="0.2">
      <c r="A81" s="10"/>
      <c r="B81" s="10"/>
      <c r="C81" s="10"/>
      <c r="D81" s="10"/>
      <c r="E81" s="10"/>
      <c r="F81" s="10"/>
      <c r="G81" s="10"/>
    </row>
    <row r="82" spans="1:7" x14ac:dyDescent="0.2">
      <c r="A82" s="10" t="s">
        <v>11</v>
      </c>
      <c r="B82" s="10" t="s">
        <v>289</v>
      </c>
      <c r="C82" s="10">
        <v>4</v>
      </c>
      <c r="D82" s="10">
        <v>1</v>
      </c>
      <c r="E82" s="10">
        <v>0.5</v>
      </c>
      <c r="F82" s="10">
        <v>61871.411999999997</v>
      </c>
      <c r="G82" s="10">
        <v>19.181749542003601</v>
      </c>
    </row>
    <row r="83" spans="1:7" x14ac:dyDescent="0.2">
      <c r="A83" s="10" t="s">
        <v>11</v>
      </c>
      <c r="B83" s="10" t="s">
        <v>289</v>
      </c>
      <c r="C83" s="10">
        <v>6</v>
      </c>
      <c r="D83" s="10">
        <v>2</v>
      </c>
      <c r="E83" s="10">
        <v>0.5</v>
      </c>
      <c r="F83" s="10">
        <v>111874.811749999</v>
      </c>
      <c r="G83" s="10">
        <v>25.9053152499982</v>
      </c>
    </row>
    <row r="84" spans="1:7" x14ac:dyDescent="0.2">
      <c r="A84" s="10" t="s">
        <v>11</v>
      </c>
      <c r="B84" s="10" t="s">
        <v>289</v>
      </c>
      <c r="C84" s="10">
        <v>8</v>
      </c>
      <c r="D84" s="10">
        <v>3</v>
      </c>
      <c r="E84" s="10">
        <v>0.5</v>
      </c>
      <c r="F84" s="10">
        <v>165270.092</v>
      </c>
      <c r="G84" s="10">
        <v>28.652162083002601</v>
      </c>
    </row>
    <row r="85" spans="1:7" x14ac:dyDescent="0.2">
      <c r="A85" s="10" t="s">
        <v>11</v>
      </c>
      <c r="B85" s="10" t="s">
        <v>289</v>
      </c>
      <c r="C85" s="10">
        <v>10</v>
      </c>
      <c r="D85" s="10">
        <v>3</v>
      </c>
      <c r="E85" s="10">
        <v>0.5</v>
      </c>
      <c r="F85" s="10">
        <v>179261.57324999999</v>
      </c>
      <c r="G85" s="10">
        <v>59.097714209004998</v>
      </c>
    </row>
    <row r="86" spans="1:7" x14ac:dyDescent="0.2">
      <c r="A86" s="10" t="s">
        <v>11</v>
      </c>
      <c r="B86" s="10" t="s">
        <v>289</v>
      </c>
      <c r="C86" s="10">
        <v>12</v>
      </c>
      <c r="D86" s="10">
        <v>4</v>
      </c>
      <c r="E86" s="10">
        <v>0.5</v>
      </c>
      <c r="F86" s="10">
        <v>204008.636499999</v>
      </c>
      <c r="G86" s="10">
        <v>214.926121832999</v>
      </c>
    </row>
    <row r="87" spans="1:7" x14ac:dyDescent="0.2">
      <c r="A87" s="10" t="s">
        <v>11</v>
      </c>
      <c r="B87" s="10" t="s">
        <v>289</v>
      </c>
      <c r="C87" s="10">
        <v>14</v>
      </c>
      <c r="D87" s="10">
        <v>4</v>
      </c>
      <c r="E87" s="10">
        <v>0.5</v>
      </c>
      <c r="F87" s="10">
        <v>226263.90849999999</v>
      </c>
      <c r="G87" s="10">
        <v>421.16644095900102</v>
      </c>
    </row>
    <row r="88" spans="1:7" x14ac:dyDescent="0.2">
      <c r="A88" s="10" t="s">
        <v>11</v>
      </c>
      <c r="B88" s="10" t="s">
        <v>289</v>
      </c>
      <c r="C88" s="10">
        <v>16</v>
      </c>
      <c r="D88" s="10">
        <v>5</v>
      </c>
      <c r="E88" s="10">
        <v>0.5</v>
      </c>
      <c r="F88" s="10">
        <v>262370.74324999901</v>
      </c>
      <c r="G88" s="10">
        <v>1777.93347625</v>
      </c>
    </row>
    <row r="89" spans="1:7" x14ac:dyDescent="0.2">
      <c r="A89" s="10" t="s">
        <v>11</v>
      </c>
      <c r="B89" s="10" t="s">
        <v>289</v>
      </c>
      <c r="C89" s="10">
        <v>18</v>
      </c>
      <c r="D89" s="10">
        <v>5</v>
      </c>
      <c r="E89" s="10">
        <v>0.5</v>
      </c>
      <c r="F89" s="10" t="s">
        <v>15</v>
      </c>
      <c r="G89" s="10" t="s">
        <v>32</v>
      </c>
    </row>
    <row r="90" spans="1:7" x14ac:dyDescent="0.2">
      <c r="A90" s="10" t="s">
        <v>11</v>
      </c>
      <c r="B90" s="10" t="s">
        <v>289</v>
      </c>
      <c r="C90" s="10">
        <v>20</v>
      </c>
      <c r="D90" s="10">
        <v>6</v>
      </c>
      <c r="E90" s="10">
        <v>0.5</v>
      </c>
      <c r="F90" s="10" t="s">
        <v>15</v>
      </c>
      <c r="G90" s="10" t="s">
        <v>32</v>
      </c>
    </row>
    <row r="91" spans="1:7" x14ac:dyDescent="0.2">
      <c r="A91" s="10" t="s">
        <v>11</v>
      </c>
      <c r="B91" s="10" t="s">
        <v>289</v>
      </c>
      <c r="C91" s="10">
        <v>22</v>
      </c>
      <c r="D91" s="10">
        <v>7</v>
      </c>
      <c r="E91" s="10">
        <v>0.5</v>
      </c>
      <c r="F91" s="10" t="s">
        <v>15</v>
      </c>
      <c r="G91" s="10" t="s">
        <v>32</v>
      </c>
    </row>
    <row r="92" spans="1:7" x14ac:dyDescent="0.2">
      <c r="A92" s="10"/>
      <c r="B92" s="10"/>
      <c r="C92" s="10"/>
      <c r="D92" s="10"/>
      <c r="E92" s="10"/>
      <c r="F92" s="10"/>
      <c r="G92" s="10"/>
    </row>
    <row r="93" spans="1:7" x14ac:dyDescent="0.2">
      <c r="A93" s="10" t="s">
        <v>11</v>
      </c>
      <c r="B93" s="10" t="s">
        <v>289</v>
      </c>
      <c r="C93" s="10">
        <v>4</v>
      </c>
      <c r="D93" s="10">
        <v>1</v>
      </c>
      <c r="E93" s="10">
        <v>0.3</v>
      </c>
      <c r="F93" s="10" t="s">
        <v>15</v>
      </c>
      <c r="G93" s="10">
        <v>13.797503709000001</v>
      </c>
    </row>
    <row r="94" spans="1:7" x14ac:dyDescent="0.2">
      <c r="A94" s="10" t="s">
        <v>11</v>
      </c>
      <c r="B94" s="10" t="s">
        <v>289</v>
      </c>
      <c r="C94" s="10">
        <v>6</v>
      </c>
      <c r="D94" s="10">
        <v>2</v>
      </c>
      <c r="E94" s="10">
        <v>0.3</v>
      </c>
      <c r="F94" s="10" t="s">
        <v>15</v>
      </c>
      <c r="G94" s="10">
        <v>25.747373999998601</v>
      </c>
    </row>
    <row r="95" spans="1:7" x14ac:dyDescent="0.2">
      <c r="A95" s="10" t="s">
        <v>11</v>
      </c>
      <c r="B95" s="10" t="s">
        <v>289</v>
      </c>
      <c r="C95" s="10">
        <v>8</v>
      </c>
      <c r="D95" s="10">
        <v>3</v>
      </c>
      <c r="E95" s="10">
        <v>0.3</v>
      </c>
      <c r="F95" s="10" t="s">
        <v>15</v>
      </c>
      <c r="G95" s="10">
        <v>24.253645958000501</v>
      </c>
    </row>
    <row r="96" spans="1:7" x14ac:dyDescent="0.2">
      <c r="A96" s="10" t="s">
        <v>11</v>
      </c>
      <c r="B96" s="10" t="s">
        <v>289</v>
      </c>
      <c r="C96" s="10">
        <v>10</v>
      </c>
      <c r="D96" s="10" t="s">
        <v>25</v>
      </c>
      <c r="E96" s="10">
        <v>0.3</v>
      </c>
      <c r="F96" s="10" t="s">
        <v>15</v>
      </c>
      <c r="G96" s="10">
        <v>49.569717541999097</v>
      </c>
    </row>
    <row r="97" spans="1:7" x14ac:dyDescent="0.2">
      <c r="A97" s="10" t="s">
        <v>11</v>
      </c>
      <c r="B97" s="10" t="s">
        <v>289</v>
      </c>
      <c r="C97" s="10">
        <v>12</v>
      </c>
      <c r="D97" s="10">
        <v>4</v>
      </c>
      <c r="E97" s="10">
        <v>0.3</v>
      </c>
      <c r="F97" s="10" t="s">
        <v>15</v>
      </c>
      <c r="G97" s="10">
        <v>194.705182707999</v>
      </c>
    </row>
    <row r="98" spans="1:7" x14ac:dyDescent="0.2">
      <c r="A98" s="10" t="s">
        <v>11</v>
      </c>
      <c r="B98" s="10" t="s">
        <v>289</v>
      </c>
      <c r="C98" s="10">
        <v>14</v>
      </c>
      <c r="D98" s="10" t="s">
        <v>26</v>
      </c>
      <c r="E98" s="10">
        <v>0.3</v>
      </c>
      <c r="F98" s="10" t="s">
        <v>15</v>
      </c>
      <c r="G98" s="10">
        <v>403.67613404100098</v>
      </c>
    </row>
    <row r="99" spans="1:7" x14ac:dyDescent="0.2">
      <c r="A99" s="10" t="s">
        <v>11</v>
      </c>
      <c r="B99" s="10" t="s">
        <v>289</v>
      </c>
      <c r="C99" s="10">
        <v>16</v>
      </c>
      <c r="D99" s="10">
        <v>5</v>
      </c>
      <c r="E99" s="10">
        <v>0.3</v>
      </c>
      <c r="F99" s="10">
        <v>338148.90859999898</v>
      </c>
      <c r="G99" s="10">
        <v>1658.40432108399</v>
      </c>
    </row>
    <row r="100" spans="1:7" x14ac:dyDescent="0.2">
      <c r="A100" s="10" t="s">
        <v>11</v>
      </c>
      <c r="B100" s="10" t="s">
        <v>289</v>
      </c>
      <c r="C100" s="10">
        <v>18</v>
      </c>
      <c r="D100" s="10" t="s">
        <v>29</v>
      </c>
      <c r="E100" s="10">
        <v>0.3</v>
      </c>
      <c r="F100" s="10" t="s">
        <v>15</v>
      </c>
      <c r="G100" s="10" t="s">
        <v>32</v>
      </c>
    </row>
    <row r="101" spans="1:7" x14ac:dyDescent="0.2">
      <c r="A101" s="10" t="s">
        <v>11</v>
      </c>
      <c r="B101" s="10" t="s">
        <v>289</v>
      </c>
      <c r="C101" s="10">
        <v>20</v>
      </c>
      <c r="D101" s="10" t="s">
        <v>27</v>
      </c>
      <c r="E101" s="10">
        <v>0.3</v>
      </c>
      <c r="F101" s="10" t="s">
        <v>15</v>
      </c>
      <c r="G101" s="10" t="s">
        <v>32</v>
      </c>
    </row>
    <row r="102" spans="1:7" x14ac:dyDescent="0.2">
      <c r="A102" s="10" t="s">
        <v>11</v>
      </c>
      <c r="B102" s="10" t="s">
        <v>289</v>
      </c>
      <c r="C102" s="10">
        <v>22</v>
      </c>
      <c r="D102" s="10">
        <v>7</v>
      </c>
      <c r="E102" s="10">
        <v>0.3</v>
      </c>
      <c r="F102" s="10" t="s">
        <v>15</v>
      </c>
      <c r="G102" s="10" t="s">
        <v>32</v>
      </c>
    </row>
    <row r="103" spans="1:7" x14ac:dyDescent="0.2">
      <c r="A103" s="10"/>
      <c r="B103" s="10"/>
      <c r="C103" s="10"/>
      <c r="D103" s="10"/>
      <c r="E103" s="10"/>
      <c r="F103" s="10"/>
      <c r="G103" s="10"/>
    </row>
    <row r="104" spans="1:7" x14ac:dyDescent="0.2">
      <c r="A104" s="10" t="s">
        <v>12</v>
      </c>
      <c r="B104" s="10" t="s">
        <v>289</v>
      </c>
      <c r="C104" s="10">
        <v>4</v>
      </c>
      <c r="D104" s="10">
        <v>2</v>
      </c>
      <c r="E104" s="10">
        <v>1</v>
      </c>
      <c r="F104" s="10">
        <v>69217.776054999995</v>
      </c>
      <c r="G104" s="10">
        <v>16.788046666995701</v>
      </c>
    </row>
    <row r="105" spans="1:7" x14ac:dyDescent="0.2">
      <c r="A105" s="10" t="s">
        <v>12</v>
      </c>
      <c r="B105" s="10" t="s">
        <v>289</v>
      </c>
      <c r="C105" s="10">
        <v>6</v>
      </c>
      <c r="D105" s="10">
        <v>2</v>
      </c>
      <c r="E105" s="10">
        <v>1</v>
      </c>
      <c r="F105" s="10">
        <v>84664.823999999993</v>
      </c>
      <c r="G105" s="10">
        <v>23.5999784160012</v>
      </c>
    </row>
    <row r="106" spans="1:7" x14ac:dyDescent="0.2">
      <c r="A106" s="10" t="s">
        <v>12</v>
      </c>
      <c r="B106" s="10" t="s">
        <v>289</v>
      </c>
      <c r="C106" s="10">
        <v>8</v>
      </c>
      <c r="D106" s="10">
        <v>3</v>
      </c>
      <c r="E106" s="10">
        <v>1</v>
      </c>
      <c r="F106" s="10">
        <v>134054.83210999999</v>
      </c>
      <c r="G106" s="10">
        <v>29.149904790996501</v>
      </c>
    </row>
    <row r="107" spans="1:7" x14ac:dyDescent="0.2">
      <c r="A107" s="10" t="s">
        <v>12</v>
      </c>
      <c r="B107" s="10" t="s">
        <v>289</v>
      </c>
      <c r="C107" s="10">
        <v>10</v>
      </c>
      <c r="D107" s="10" t="s">
        <v>25</v>
      </c>
      <c r="E107" s="10">
        <v>1</v>
      </c>
      <c r="F107" s="10">
        <v>163137.120165</v>
      </c>
      <c r="G107" s="10">
        <v>37.0029802920034</v>
      </c>
    </row>
    <row r="108" spans="1:7" x14ac:dyDescent="0.2">
      <c r="A108" s="10" t="s">
        <v>12</v>
      </c>
      <c r="B108" s="10" t="s">
        <v>289</v>
      </c>
      <c r="C108" s="10">
        <v>12</v>
      </c>
      <c r="D108" s="10">
        <v>4</v>
      </c>
      <c r="E108" s="10">
        <v>1</v>
      </c>
      <c r="F108" s="10">
        <v>177075.28810999999</v>
      </c>
      <c r="G108" s="10">
        <v>57.5231888750058</v>
      </c>
    </row>
    <row r="109" spans="1:7" x14ac:dyDescent="0.2">
      <c r="A109" s="10" t="s">
        <v>12</v>
      </c>
      <c r="B109" s="10" t="s">
        <v>289</v>
      </c>
      <c r="C109" s="10">
        <v>14</v>
      </c>
      <c r="D109" s="10">
        <v>4</v>
      </c>
      <c r="E109" s="10">
        <v>1</v>
      </c>
      <c r="F109" s="10">
        <v>186148.99210999999</v>
      </c>
      <c r="G109" s="10">
        <v>323.21172141699901</v>
      </c>
    </row>
    <row r="110" spans="1:7" x14ac:dyDescent="0.2">
      <c r="A110" s="10" t="s">
        <v>12</v>
      </c>
      <c r="B110" s="10" t="s">
        <v>289</v>
      </c>
      <c r="C110" s="10">
        <v>16</v>
      </c>
      <c r="D110" s="10">
        <v>5</v>
      </c>
      <c r="E110" s="10">
        <v>1</v>
      </c>
      <c r="F110" s="10">
        <v>225047.30411</v>
      </c>
      <c r="G110" s="10">
        <v>507.08136620800298</v>
      </c>
    </row>
    <row r="111" spans="1:7" x14ac:dyDescent="0.2">
      <c r="A111" s="10" t="s">
        <v>12</v>
      </c>
      <c r="B111" s="10" t="s">
        <v>289</v>
      </c>
      <c r="C111" s="10">
        <v>18</v>
      </c>
      <c r="D111" s="10">
        <v>5</v>
      </c>
      <c r="E111" s="10">
        <v>1</v>
      </c>
      <c r="F111" s="10">
        <v>234683.92811000001</v>
      </c>
      <c r="G111" s="10">
        <v>3579.07647825</v>
      </c>
    </row>
    <row r="112" spans="1:7" x14ac:dyDescent="0.2">
      <c r="A112" s="10" t="s">
        <v>12</v>
      </c>
      <c r="B112" s="10" t="s">
        <v>289</v>
      </c>
      <c r="C112" s="10">
        <v>20</v>
      </c>
      <c r="D112" s="10">
        <v>6</v>
      </c>
      <c r="E112" s="10">
        <v>1</v>
      </c>
      <c r="F112" s="10" t="s">
        <v>15</v>
      </c>
      <c r="G112" s="10" t="s">
        <v>32</v>
      </c>
    </row>
    <row r="113" spans="1:7" x14ac:dyDescent="0.2">
      <c r="A113" s="10" t="s">
        <v>12</v>
      </c>
      <c r="B113" s="10" t="s">
        <v>289</v>
      </c>
      <c r="C113" s="10">
        <v>22</v>
      </c>
      <c r="D113" s="10">
        <v>7</v>
      </c>
      <c r="E113" s="10">
        <v>1</v>
      </c>
      <c r="F113" s="10" t="s">
        <v>15</v>
      </c>
      <c r="G113" s="10" t="s">
        <v>32</v>
      </c>
    </row>
    <row r="114" spans="1:7" x14ac:dyDescent="0.2">
      <c r="A114" s="10"/>
      <c r="B114" s="10"/>
      <c r="C114" s="10"/>
      <c r="D114" s="10"/>
      <c r="E114" s="10"/>
      <c r="F114" s="10"/>
      <c r="G114" s="10"/>
    </row>
    <row r="115" spans="1:7" x14ac:dyDescent="0.2">
      <c r="A115" s="10" t="s">
        <v>12</v>
      </c>
      <c r="B115" s="10" t="s">
        <v>289</v>
      </c>
      <c r="C115" s="10">
        <v>4</v>
      </c>
      <c r="D115" s="10">
        <v>2</v>
      </c>
      <c r="E115" s="10">
        <v>0.5</v>
      </c>
      <c r="F115" s="10">
        <v>87769.845499999996</v>
      </c>
      <c r="G115" s="10">
        <v>17.029024000003101</v>
      </c>
    </row>
    <row r="116" spans="1:7" x14ac:dyDescent="0.2">
      <c r="A116" s="10" t="s">
        <v>12</v>
      </c>
      <c r="B116" s="10" t="s">
        <v>289</v>
      </c>
      <c r="C116" s="10">
        <v>6</v>
      </c>
      <c r="D116" s="10">
        <v>2</v>
      </c>
      <c r="E116" s="10">
        <v>0.5</v>
      </c>
      <c r="F116" s="10">
        <v>104067.1795</v>
      </c>
      <c r="G116" s="10">
        <v>23.660314332999398</v>
      </c>
    </row>
    <row r="117" spans="1:7" x14ac:dyDescent="0.2">
      <c r="A117" s="10" t="s">
        <v>12</v>
      </c>
      <c r="B117" s="10" t="s">
        <v>289</v>
      </c>
      <c r="C117" s="10">
        <v>8</v>
      </c>
      <c r="D117" s="10">
        <v>3</v>
      </c>
      <c r="E117" s="10">
        <v>0.5</v>
      </c>
      <c r="F117" s="10">
        <v>179305.02674999999</v>
      </c>
      <c r="G117" s="10">
        <v>30.628695625004099</v>
      </c>
    </row>
    <row r="118" spans="1:7" x14ac:dyDescent="0.2">
      <c r="A118" s="10" t="s">
        <v>12</v>
      </c>
      <c r="B118" s="10" t="s">
        <v>289</v>
      </c>
      <c r="C118" s="10">
        <v>10</v>
      </c>
      <c r="D118" s="10" t="s">
        <v>25</v>
      </c>
      <c r="E118" s="10">
        <v>0.5</v>
      </c>
      <c r="F118" s="10">
        <v>222014.72849999901</v>
      </c>
      <c r="G118" s="10">
        <v>41.031670625001397</v>
      </c>
    </row>
    <row r="119" spans="1:7" x14ac:dyDescent="0.2">
      <c r="A119" s="10" t="s">
        <v>12</v>
      </c>
      <c r="B119" s="10" t="s">
        <v>289</v>
      </c>
      <c r="C119" s="10">
        <v>12</v>
      </c>
      <c r="D119" s="10">
        <v>4</v>
      </c>
      <c r="E119" s="10">
        <v>0.5</v>
      </c>
      <c r="F119" s="10">
        <v>247821.72675</v>
      </c>
      <c r="G119" s="10">
        <v>79.954761583001499</v>
      </c>
    </row>
    <row r="120" spans="1:7" x14ac:dyDescent="0.2">
      <c r="A120" s="10" t="s">
        <v>12</v>
      </c>
      <c r="B120" s="10" t="s">
        <v>289</v>
      </c>
      <c r="C120" s="10">
        <v>14</v>
      </c>
      <c r="D120" s="10">
        <v>4</v>
      </c>
      <c r="E120" s="10">
        <v>0.5</v>
      </c>
      <c r="F120" s="10">
        <v>245617.25075000001</v>
      </c>
      <c r="G120" s="10">
        <v>663.13654383299502</v>
      </c>
    </row>
    <row r="121" spans="1:7" x14ac:dyDescent="0.2">
      <c r="A121" s="10" t="s">
        <v>12</v>
      </c>
      <c r="B121" s="10" t="s">
        <v>289</v>
      </c>
      <c r="C121" s="10">
        <v>16</v>
      </c>
      <c r="D121" s="10">
        <v>5</v>
      </c>
      <c r="E121" s="10">
        <v>0.5</v>
      </c>
      <c r="F121" s="10">
        <v>297675.44349999999</v>
      </c>
      <c r="G121" s="10">
        <v>943.44061354099495</v>
      </c>
    </row>
    <row r="122" spans="1:7" x14ac:dyDescent="0.2">
      <c r="A122" s="10" t="s">
        <v>12</v>
      </c>
      <c r="B122" s="10" t="s">
        <v>289</v>
      </c>
      <c r="C122" s="10">
        <v>18</v>
      </c>
      <c r="D122" s="10" t="s">
        <v>29</v>
      </c>
      <c r="E122" s="10">
        <v>0.5</v>
      </c>
      <c r="F122" s="10">
        <v>323194.47749990202</v>
      </c>
      <c r="G122" s="10">
        <v>5031.75238849999</v>
      </c>
    </row>
    <row r="123" spans="1:7" x14ac:dyDescent="0.2">
      <c r="A123" s="10" t="s">
        <v>12</v>
      </c>
      <c r="B123" s="10" t="s">
        <v>289</v>
      </c>
      <c r="C123" s="10">
        <v>20</v>
      </c>
      <c r="D123" s="10">
        <v>6</v>
      </c>
      <c r="E123" s="10">
        <v>0.5</v>
      </c>
      <c r="F123" s="10" t="s">
        <v>15</v>
      </c>
      <c r="G123" s="10" t="s">
        <v>32</v>
      </c>
    </row>
    <row r="124" spans="1:7" x14ac:dyDescent="0.2">
      <c r="A124" s="10" t="s">
        <v>12</v>
      </c>
      <c r="B124" s="10" t="s">
        <v>289</v>
      </c>
      <c r="C124" s="10">
        <v>22</v>
      </c>
      <c r="D124" s="10">
        <v>7</v>
      </c>
      <c r="E124" s="10">
        <v>0.5</v>
      </c>
      <c r="F124" s="10" t="s">
        <v>15</v>
      </c>
      <c r="G124" s="10" t="s">
        <v>32</v>
      </c>
    </row>
    <row r="125" spans="1:7" x14ac:dyDescent="0.2">
      <c r="A125" s="10"/>
      <c r="B125" s="10"/>
      <c r="C125" s="10"/>
      <c r="D125" s="10"/>
      <c r="E125" s="10"/>
      <c r="F125" s="10"/>
      <c r="G125" s="10"/>
    </row>
    <row r="126" spans="1:7" x14ac:dyDescent="0.2">
      <c r="A126" s="10" t="s">
        <v>12</v>
      </c>
      <c r="B126" s="10" t="s">
        <v>289</v>
      </c>
      <c r="C126" s="10">
        <v>4</v>
      </c>
      <c r="D126" s="10">
        <v>2</v>
      </c>
      <c r="E126" s="10">
        <v>0.3</v>
      </c>
      <c r="F126" s="10" t="s">
        <v>15</v>
      </c>
      <c r="G126" s="10">
        <v>13.734460916995801</v>
      </c>
    </row>
    <row r="127" spans="1:7" x14ac:dyDescent="0.2">
      <c r="A127" s="10" t="s">
        <v>12</v>
      </c>
      <c r="B127" s="10" t="s">
        <v>289</v>
      </c>
      <c r="C127" s="10">
        <v>6</v>
      </c>
      <c r="D127" s="10">
        <v>2</v>
      </c>
      <c r="E127" s="10">
        <v>0.3</v>
      </c>
      <c r="F127" s="10">
        <v>125962.47014999999</v>
      </c>
      <c r="G127" s="10">
        <v>25.631008457996298</v>
      </c>
    </row>
    <row r="128" spans="1:7" x14ac:dyDescent="0.2">
      <c r="A128" s="10" t="s">
        <v>12</v>
      </c>
      <c r="B128" s="10" t="s">
        <v>289</v>
      </c>
      <c r="C128" s="10">
        <v>8</v>
      </c>
      <c r="D128" s="10" t="s">
        <v>25</v>
      </c>
      <c r="E128" s="10">
        <v>0.3</v>
      </c>
      <c r="F128" s="10" t="s">
        <v>15</v>
      </c>
      <c r="G128" s="10">
        <v>32.258315125000003</v>
      </c>
    </row>
    <row r="129" spans="1:7" x14ac:dyDescent="0.2">
      <c r="A129" s="10" t="s">
        <v>12</v>
      </c>
      <c r="B129" s="10" t="s">
        <v>289</v>
      </c>
      <c r="C129" s="10">
        <v>10</v>
      </c>
      <c r="D129" s="10" t="s">
        <v>25</v>
      </c>
      <c r="E129" s="10">
        <v>0.3</v>
      </c>
      <c r="F129" s="10" t="s">
        <v>15</v>
      </c>
      <c r="G129" s="10">
        <v>35.9048181670004</v>
      </c>
    </row>
    <row r="130" spans="1:7" x14ac:dyDescent="0.2">
      <c r="A130" s="10" t="s">
        <v>12</v>
      </c>
      <c r="B130" s="10" t="s">
        <v>289</v>
      </c>
      <c r="C130" s="10">
        <v>12</v>
      </c>
      <c r="D130" s="10" t="s">
        <v>26</v>
      </c>
      <c r="E130" s="10">
        <v>0.3</v>
      </c>
      <c r="F130" s="10" t="s">
        <v>15</v>
      </c>
      <c r="G130" s="10">
        <v>66.954543708001395</v>
      </c>
    </row>
    <row r="131" spans="1:7" x14ac:dyDescent="0.2">
      <c r="A131" s="10" t="s">
        <v>12</v>
      </c>
      <c r="B131" s="10" t="s">
        <v>289</v>
      </c>
      <c r="C131" s="10">
        <v>14</v>
      </c>
      <c r="D131" s="10" t="s">
        <v>26</v>
      </c>
      <c r="E131" s="10">
        <v>0.3</v>
      </c>
      <c r="F131" s="10">
        <v>350592.69605000003</v>
      </c>
      <c r="G131" s="10">
        <v>638.86115137499996</v>
      </c>
    </row>
    <row r="132" spans="1:7" x14ac:dyDescent="0.2">
      <c r="A132" s="10" t="s">
        <v>12</v>
      </c>
      <c r="B132" s="10" t="s">
        <v>289</v>
      </c>
      <c r="C132" s="10">
        <v>16</v>
      </c>
      <c r="D132" s="10" t="s">
        <v>29</v>
      </c>
      <c r="E132" s="10">
        <v>0.3</v>
      </c>
      <c r="F132" s="10">
        <v>449337.879049999</v>
      </c>
      <c r="G132" s="10">
        <v>897.35899920899794</v>
      </c>
    </row>
    <row r="133" spans="1:7" x14ac:dyDescent="0.2">
      <c r="A133" s="10" t="s">
        <v>12</v>
      </c>
      <c r="B133" s="10" t="s">
        <v>289</v>
      </c>
      <c r="C133" s="10">
        <v>18</v>
      </c>
      <c r="D133" s="10" t="s">
        <v>29</v>
      </c>
      <c r="E133" s="10">
        <v>0.3</v>
      </c>
      <c r="F133" s="10" t="s">
        <v>15</v>
      </c>
      <c r="G133" s="10">
        <v>4576.4130314169997</v>
      </c>
    </row>
    <row r="134" spans="1:7" x14ac:dyDescent="0.2">
      <c r="A134" s="10" t="s">
        <v>12</v>
      </c>
      <c r="B134" s="10" t="s">
        <v>289</v>
      </c>
      <c r="C134" s="10">
        <v>20</v>
      </c>
      <c r="D134" s="10" t="s">
        <v>27</v>
      </c>
      <c r="E134" s="10">
        <v>0.3</v>
      </c>
      <c r="F134" s="10" t="s">
        <v>15</v>
      </c>
      <c r="G134" s="10" t="s">
        <v>32</v>
      </c>
    </row>
    <row r="135" spans="1:7" x14ac:dyDescent="0.2">
      <c r="A135" s="10" t="s">
        <v>12</v>
      </c>
      <c r="B135" s="10" t="s">
        <v>289</v>
      </c>
      <c r="C135" s="10">
        <v>22</v>
      </c>
      <c r="D135" s="10">
        <v>7</v>
      </c>
      <c r="E135" s="10">
        <v>0.3</v>
      </c>
      <c r="F135" s="10" t="s">
        <v>15</v>
      </c>
      <c r="G135" s="10" t="s">
        <v>32</v>
      </c>
    </row>
    <row r="136" spans="1:7" x14ac:dyDescent="0.2">
      <c r="A136" s="10"/>
      <c r="B136" s="10"/>
      <c r="C136" s="10"/>
      <c r="D136" s="10"/>
      <c r="E136" s="10"/>
      <c r="F136" s="10"/>
      <c r="G136" s="10"/>
    </row>
    <row r="137" spans="1:7" x14ac:dyDescent="0.2">
      <c r="A137" s="10" t="s">
        <v>13</v>
      </c>
      <c r="B137" s="10" t="s">
        <v>289</v>
      </c>
      <c r="C137" s="10">
        <v>4</v>
      </c>
      <c r="D137" s="10">
        <v>2</v>
      </c>
      <c r="E137" s="10">
        <v>1</v>
      </c>
      <c r="F137" s="10">
        <v>75693.720054999998</v>
      </c>
      <c r="G137" s="10">
        <v>16.387580499998801</v>
      </c>
    </row>
    <row r="138" spans="1:7" x14ac:dyDescent="0.2">
      <c r="A138" s="10" t="s">
        <v>13</v>
      </c>
      <c r="B138" s="10" t="s">
        <v>289</v>
      </c>
      <c r="C138" s="10">
        <v>6</v>
      </c>
      <c r="D138" s="10">
        <v>3</v>
      </c>
      <c r="E138" s="10">
        <v>1</v>
      </c>
      <c r="F138" s="10">
        <v>117945.01216499999</v>
      </c>
      <c r="G138" s="10">
        <v>20.662097291999</v>
      </c>
    </row>
    <row r="139" spans="1:7" x14ac:dyDescent="0.2">
      <c r="A139" s="10" t="s">
        <v>13</v>
      </c>
      <c r="B139" s="10" t="s">
        <v>289</v>
      </c>
      <c r="C139" s="10">
        <v>8</v>
      </c>
      <c r="D139" s="10">
        <v>3</v>
      </c>
      <c r="E139" s="10">
        <v>1</v>
      </c>
      <c r="F139" s="10">
        <v>148248.37211</v>
      </c>
      <c r="G139" s="10">
        <v>27.594714334001701</v>
      </c>
    </row>
    <row r="140" spans="1:7" x14ac:dyDescent="0.2">
      <c r="A140" s="10" t="s">
        <v>13</v>
      </c>
      <c r="B140" s="10" t="s">
        <v>289</v>
      </c>
      <c r="C140" s="10">
        <v>10</v>
      </c>
      <c r="D140" s="10">
        <v>4</v>
      </c>
      <c r="E140" s="10">
        <v>1</v>
      </c>
      <c r="F140" s="10">
        <v>165950.79605499899</v>
      </c>
      <c r="G140" s="10">
        <v>32.369077292001698</v>
      </c>
    </row>
    <row r="141" spans="1:7" x14ac:dyDescent="0.2">
      <c r="A141" s="10" t="s">
        <v>13</v>
      </c>
      <c r="B141" s="10" t="s">
        <v>289</v>
      </c>
      <c r="C141" s="10">
        <v>12</v>
      </c>
      <c r="D141" s="10">
        <v>4</v>
      </c>
      <c r="E141" s="10">
        <v>1</v>
      </c>
      <c r="F141" s="10">
        <v>193623.31205499999</v>
      </c>
      <c r="G141" s="10">
        <v>42.928483791001703</v>
      </c>
    </row>
    <row r="142" spans="1:7" x14ac:dyDescent="0.2">
      <c r="A142" s="10" t="s">
        <v>13</v>
      </c>
      <c r="B142" s="10" t="s">
        <v>289</v>
      </c>
      <c r="C142" s="10">
        <v>14</v>
      </c>
      <c r="D142" s="10">
        <v>5</v>
      </c>
      <c r="E142" s="10">
        <v>1</v>
      </c>
      <c r="F142" s="10">
        <v>221238.612165</v>
      </c>
      <c r="G142" s="10">
        <v>68.444074165999993</v>
      </c>
    </row>
    <row r="143" spans="1:7" x14ac:dyDescent="0.2">
      <c r="A143" s="10" t="s">
        <v>13</v>
      </c>
      <c r="B143" s="10" t="s">
        <v>289</v>
      </c>
      <c r="C143" s="10">
        <v>16</v>
      </c>
      <c r="D143" s="10">
        <v>5</v>
      </c>
      <c r="E143" s="10">
        <v>1</v>
      </c>
      <c r="F143" s="10">
        <v>230253.42022</v>
      </c>
      <c r="G143" s="10">
        <v>295.57088287499897</v>
      </c>
    </row>
    <row r="144" spans="1:7" x14ac:dyDescent="0.2">
      <c r="A144" s="10" t="s">
        <v>13</v>
      </c>
      <c r="B144" s="10" t="s">
        <v>289</v>
      </c>
      <c r="C144" s="10">
        <v>18</v>
      </c>
      <c r="D144" s="10">
        <v>6</v>
      </c>
      <c r="E144" s="10">
        <v>1</v>
      </c>
      <c r="F144" s="10">
        <v>253277.46033</v>
      </c>
      <c r="G144" s="10">
        <v>3401.0392950829901</v>
      </c>
    </row>
    <row r="145" spans="1:7" x14ac:dyDescent="0.2">
      <c r="A145" s="10" t="s">
        <v>13</v>
      </c>
      <c r="B145" s="10" t="s">
        <v>289</v>
      </c>
      <c r="C145" s="10">
        <v>20</v>
      </c>
      <c r="D145" s="10">
        <v>6</v>
      </c>
      <c r="E145" s="10">
        <v>1</v>
      </c>
      <c r="F145" s="10" t="s">
        <v>15</v>
      </c>
      <c r="G145" s="10" t="s">
        <v>32</v>
      </c>
    </row>
    <row r="146" spans="1:7" x14ac:dyDescent="0.2">
      <c r="A146" s="10" t="s">
        <v>13</v>
      </c>
      <c r="B146" s="10" t="s">
        <v>289</v>
      </c>
      <c r="C146" s="10">
        <v>22</v>
      </c>
      <c r="D146" s="10">
        <v>7</v>
      </c>
      <c r="E146" s="10">
        <v>1</v>
      </c>
      <c r="F146" s="10" t="s">
        <v>15</v>
      </c>
      <c r="G146" s="10" t="s">
        <v>32</v>
      </c>
    </row>
    <row r="147" spans="1:7" x14ac:dyDescent="0.2">
      <c r="A147" s="10"/>
      <c r="B147" s="10"/>
      <c r="C147" s="10"/>
      <c r="D147" s="10"/>
      <c r="E147" s="10"/>
      <c r="F147" s="10"/>
      <c r="G147" s="10"/>
    </row>
    <row r="148" spans="1:7" x14ac:dyDescent="0.2">
      <c r="A148" s="10" t="s">
        <v>13</v>
      </c>
      <c r="B148" s="10" t="s">
        <v>289</v>
      </c>
      <c r="C148" s="10">
        <v>4</v>
      </c>
      <c r="D148" s="10">
        <v>2</v>
      </c>
      <c r="E148" s="10">
        <v>0.5</v>
      </c>
      <c r="F148" s="10">
        <v>94788.780499999993</v>
      </c>
      <c r="G148" s="10">
        <v>14.296959083003401</v>
      </c>
    </row>
    <row r="149" spans="1:7" x14ac:dyDescent="0.2">
      <c r="A149" s="10" t="s">
        <v>13</v>
      </c>
      <c r="B149" s="10" t="s">
        <v>289</v>
      </c>
      <c r="C149" s="10">
        <v>6</v>
      </c>
      <c r="D149" s="10">
        <v>3</v>
      </c>
      <c r="E149" s="10">
        <v>0.5</v>
      </c>
      <c r="F149" s="10" t="s">
        <v>15</v>
      </c>
      <c r="G149" s="10">
        <v>17.999062916998799</v>
      </c>
    </row>
    <row r="150" spans="1:7" x14ac:dyDescent="0.2">
      <c r="A150" s="10" t="s">
        <v>13</v>
      </c>
      <c r="B150" s="10" t="s">
        <v>289</v>
      </c>
      <c r="C150" s="10">
        <v>8</v>
      </c>
      <c r="D150" s="10">
        <v>3</v>
      </c>
      <c r="E150" s="10">
        <v>0.5</v>
      </c>
      <c r="F150" s="10">
        <v>212324.03749999899</v>
      </c>
      <c r="G150" s="10">
        <v>29.398269207995298</v>
      </c>
    </row>
    <row r="151" spans="1:7" x14ac:dyDescent="0.2">
      <c r="A151" s="10" t="s">
        <v>13</v>
      </c>
      <c r="B151" s="10" t="s">
        <v>289</v>
      </c>
      <c r="C151" s="10">
        <v>10</v>
      </c>
      <c r="D151" s="10">
        <v>4</v>
      </c>
      <c r="E151" s="10">
        <v>0.5</v>
      </c>
      <c r="F151" s="10">
        <v>218235.217999999</v>
      </c>
      <c r="G151" s="10">
        <v>37.433645875003997</v>
      </c>
    </row>
    <row r="152" spans="1:7" x14ac:dyDescent="0.2">
      <c r="A152" s="10" t="s">
        <v>13</v>
      </c>
      <c r="B152" s="10" t="s">
        <v>289</v>
      </c>
      <c r="C152" s="10">
        <v>12</v>
      </c>
      <c r="D152" s="10" t="s">
        <v>26</v>
      </c>
      <c r="E152" s="10">
        <v>0.5</v>
      </c>
      <c r="F152" s="10">
        <v>273246.96549999999</v>
      </c>
      <c r="G152" s="10">
        <v>61.919300790999799</v>
      </c>
    </row>
    <row r="153" spans="1:7" x14ac:dyDescent="0.2">
      <c r="A153" s="10" t="s">
        <v>13</v>
      </c>
      <c r="B153" s="10" t="s">
        <v>289</v>
      </c>
      <c r="C153" s="10">
        <v>14</v>
      </c>
      <c r="D153" s="10">
        <v>5</v>
      </c>
      <c r="E153" s="10">
        <v>0.5</v>
      </c>
      <c r="F153" s="10">
        <v>289679.734</v>
      </c>
      <c r="G153" s="10">
        <v>106.098107875004</v>
      </c>
    </row>
    <row r="154" spans="1:7" x14ac:dyDescent="0.2">
      <c r="A154" s="10" t="s">
        <v>13</v>
      </c>
      <c r="B154" s="10" t="s">
        <v>289</v>
      </c>
      <c r="C154" s="10">
        <v>16</v>
      </c>
      <c r="D154" s="10">
        <v>5</v>
      </c>
      <c r="E154" s="10">
        <v>0.5</v>
      </c>
      <c r="F154" s="10">
        <v>309734.77799999999</v>
      </c>
      <c r="G154" s="10">
        <v>554.12194354199801</v>
      </c>
    </row>
    <row r="155" spans="1:7" x14ac:dyDescent="0.2">
      <c r="A155" s="10" t="s">
        <v>13</v>
      </c>
      <c r="B155" s="10" t="s">
        <v>289</v>
      </c>
      <c r="C155" s="10">
        <v>18</v>
      </c>
      <c r="D155" s="10">
        <v>6</v>
      </c>
      <c r="E155" s="10">
        <v>0.5</v>
      </c>
      <c r="F155" s="10">
        <v>333133.307749987</v>
      </c>
      <c r="G155" s="10">
        <v>3640.6455489159998</v>
      </c>
    </row>
    <row r="156" spans="1:7" x14ac:dyDescent="0.2">
      <c r="A156" s="10" t="s">
        <v>13</v>
      </c>
      <c r="B156" s="10" t="s">
        <v>289</v>
      </c>
      <c r="C156" s="10">
        <v>20</v>
      </c>
      <c r="D156" s="10">
        <v>6</v>
      </c>
      <c r="E156" s="10">
        <v>0.5</v>
      </c>
      <c r="F156" s="10" t="s">
        <v>15</v>
      </c>
      <c r="G156" s="10" t="s">
        <v>32</v>
      </c>
    </row>
    <row r="157" spans="1:7" x14ac:dyDescent="0.2">
      <c r="A157" s="10" t="s">
        <v>13</v>
      </c>
      <c r="B157" s="10" t="s">
        <v>289</v>
      </c>
      <c r="C157" s="10">
        <v>22</v>
      </c>
      <c r="D157" s="10">
        <v>7</v>
      </c>
      <c r="E157" s="10">
        <v>0.5</v>
      </c>
      <c r="F157" s="10" t="s">
        <v>15</v>
      </c>
      <c r="G157" s="10" t="s">
        <v>32</v>
      </c>
    </row>
    <row r="158" spans="1:7" x14ac:dyDescent="0.2">
      <c r="A158" s="10"/>
      <c r="B158" s="10"/>
      <c r="C158" s="10"/>
      <c r="D158" s="10"/>
      <c r="E158" s="10"/>
      <c r="F158" s="10"/>
      <c r="G158" s="10"/>
    </row>
    <row r="159" spans="1:7" x14ac:dyDescent="0.2">
      <c r="A159" s="10" t="s">
        <v>13</v>
      </c>
      <c r="B159" s="10" t="s">
        <v>289</v>
      </c>
      <c r="C159" s="10">
        <v>4</v>
      </c>
      <c r="D159" s="10">
        <v>2</v>
      </c>
      <c r="E159" s="10">
        <v>0.3</v>
      </c>
      <c r="F159" s="10" t="s">
        <v>15</v>
      </c>
      <c r="G159" s="10">
        <v>13.637333874998101</v>
      </c>
    </row>
    <row r="160" spans="1:7" x14ac:dyDescent="0.2">
      <c r="A160" s="10" t="s">
        <v>13</v>
      </c>
      <c r="B160" s="10" t="s">
        <v>289</v>
      </c>
      <c r="C160" s="10">
        <v>6</v>
      </c>
      <c r="D160" s="10">
        <v>3</v>
      </c>
      <c r="E160" s="10">
        <v>0.3</v>
      </c>
      <c r="F160" s="10" t="s">
        <v>15</v>
      </c>
      <c r="G160" s="10">
        <v>17.960888207999201</v>
      </c>
    </row>
    <row r="161" spans="1:7" x14ac:dyDescent="0.2">
      <c r="A161" s="10" t="s">
        <v>13</v>
      </c>
      <c r="B161" s="10" t="s">
        <v>289</v>
      </c>
      <c r="C161" s="10">
        <v>8</v>
      </c>
      <c r="D161" s="10" t="s">
        <v>25</v>
      </c>
      <c r="E161" s="10">
        <v>0.3</v>
      </c>
      <c r="F161" s="10" t="s">
        <v>15</v>
      </c>
      <c r="G161" s="10">
        <v>28.599651666001499</v>
      </c>
    </row>
    <row r="162" spans="1:7" x14ac:dyDescent="0.2">
      <c r="A162" s="10" t="s">
        <v>13</v>
      </c>
      <c r="B162" s="10" t="s">
        <v>289</v>
      </c>
      <c r="C162" s="10">
        <v>10</v>
      </c>
      <c r="D162" s="10">
        <v>4</v>
      </c>
      <c r="E162" s="10">
        <v>0.3</v>
      </c>
      <c r="F162" s="10" t="s">
        <v>15</v>
      </c>
      <c r="G162" s="10">
        <v>32.017651374997499</v>
      </c>
    </row>
    <row r="163" spans="1:7" x14ac:dyDescent="0.2">
      <c r="A163" s="10" t="s">
        <v>13</v>
      </c>
      <c r="B163" s="10" t="s">
        <v>289</v>
      </c>
      <c r="C163" s="10">
        <v>12</v>
      </c>
      <c r="D163" s="10" t="s">
        <v>26</v>
      </c>
      <c r="E163" s="10">
        <v>0.3</v>
      </c>
      <c r="F163" s="10" t="s">
        <v>15</v>
      </c>
      <c r="G163" s="10">
        <v>50.429768999994799</v>
      </c>
    </row>
    <row r="164" spans="1:7" x14ac:dyDescent="0.2">
      <c r="A164" s="10" t="s">
        <v>13</v>
      </c>
      <c r="B164" s="10" t="s">
        <v>289</v>
      </c>
      <c r="C164" s="10">
        <v>14</v>
      </c>
      <c r="D164" s="10" t="s">
        <v>29</v>
      </c>
      <c r="E164" s="10">
        <v>0.3</v>
      </c>
      <c r="F164" s="10">
        <v>395654.35699999903</v>
      </c>
      <c r="G164" s="10">
        <v>100.44642454200201</v>
      </c>
    </row>
    <row r="165" spans="1:7" x14ac:dyDescent="0.2">
      <c r="A165" s="10" t="s">
        <v>13</v>
      </c>
      <c r="B165" s="10" t="s">
        <v>289</v>
      </c>
      <c r="C165" s="10">
        <v>16</v>
      </c>
      <c r="D165" s="10" t="s">
        <v>29</v>
      </c>
      <c r="E165" s="10">
        <v>0.3</v>
      </c>
      <c r="F165" s="10">
        <v>424751.882099999</v>
      </c>
      <c r="G165" s="10">
        <v>488.21707320799698</v>
      </c>
    </row>
    <row r="166" spans="1:7" x14ac:dyDescent="0.2">
      <c r="A166" s="10" t="s">
        <v>13</v>
      </c>
      <c r="B166" s="10" t="s">
        <v>289</v>
      </c>
      <c r="C166" s="10">
        <v>18</v>
      </c>
      <c r="D166" s="10">
        <v>6</v>
      </c>
      <c r="E166" s="10">
        <v>0.3</v>
      </c>
      <c r="F166" s="10">
        <v>451083.26519999898</v>
      </c>
      <c r="G166" s="10">
        <v>3362.6531951249999</v>
      </c>
    </row>
    <row r="167" spans="1:7" x14ac:dyDescent="0.2">
      <c r="A167" s="10" t="s">
        <v>13</v>
      </c>
      <c r="B167" s="10" t="s">
        <v>289</v>
      </c>
      <c r="C167" s="10">
        <v>20</v>
      </c>
      <c r="D167" s="10" t="s">
        <v>27</v>
      </c>
      <c r="E167" s="10">
        <v>0.3</v>
      </c>
      <c r="F167" s="10" t="s">
        <v>15</v>
      </c>
      <c r="G167" s="10" t="s">
        <v>32</v>
      </c>
    </row>
    <row r="168" spans="1:7" x14ac:dyDescent="0.2">
      <c r="A168" s="10" t="s">
        <v>13</v>
      </c>
      <c r="B168" s="10" t="s">
        <v>289</v>
      </c>
      <c r="C168" s="10">
        <v>22</v>
      </c>
      <c r="D168" s="10">
        <v>7</v>
      </c>
      <c r="E168" s="10">
        <v>0.3</v>
      </c>
      <c r="F168" s="10" t="s">
        <v>15</v>
      </c>
      <c r="G168" s="10" t="s">
        <v>32</v>
      </c>
    </row>
    <row r="169" spans="1:7" x14ac:dyDescent="0.2">
      <c r="A169" s="10"/>
      <c r="B169" s="10"/>
      <c r="C169" s="10"/>
      <c r="D169" s="10"/>
      <c r="E169" s="10"/>
      <c r="F169" s="10"/>
      <c r="G169" s="10"/>
    </row>
    <row r="170" spans="1:7" x14ac:dyDescent="0.2">
      <c r="A170" s="10"/>
      <c r="B170" s="10"/>
      <c r="C170" s="10"/>
      <c r="D170" s="10"/>
      <c r="E170" s="10"/>
      <c r="F170" s="10"/>
      <c r="G170" s="10"/>
    </row>
    <row r="171" spans="1:7" x14ac:dyDescent="0.2">
      <c r="A171" s="10"/>
      <c r="B171" s="10"/>
      <c r="C171" s="10"/>
      <c r="D171" s="10"/>
      <c r="E171" s="10"/>
      <c r="F171" s="10"/>
      <c r="G171" s="10"/>
    </row>
    <row r="172" spans="1:7" x14ac:dyDescent="0.2">
      <c r="A172" s="12" t="s">
        <v>30</v>
      </c>
      <c r="B172" s="10"/>
      <c r="C172" s="10"/>
      <c r="D172" s="10"/>
      <c r="E172" s="10"/>
      <c r="F172" s="10"/>
      <c r="G172" s="10"/>
    </row>
    <row r="173" spans="1:7" x14ac:dyDescent="0.2">
      <c r="A173" s="10"/>
      <c r="B173" s="10"/>
      <c r="C173" s="10"/>
      <c r="D173" s="10"/>
      <c r="E173" s="10"/>
      <c r="F173" s="10"/>
      <c r="G173" s="10"/>
    </row>
    <row r="174" spans="1:7" x14ac:dyDescent="0.2">
      <c r="A174" s="10" t="s">
        <v>9</v>
      </c>
      <c r="B174" s="10" t="s">
        <v>290</v>
      </c>
      <c r="C174" s="10">
        <v>4</v>
      </c>
      <c r="D174" s="10">
        <v>2</v>
      </c>
      <c r="E174" s="10">
        <v>1</v>
      </c>
      <c r="F174" s="10">
        <v>66252.528055000002</v>
      </c>
      <c r="G174" s="10">
        <v>29.255424334012702</v>
      </c>
    </row>
    <row r="175" spans="1:7" x14ac:dyDescent="0.2">
      <c r="A175" s="10" t="s">
        <v>9</v>
      </c>
      <c r="B175" s="10" t="s">
        <v>290</v>
      </c>
      <c r="C175" s="10">
        <v>6</v>
      </c>
      <c r="D175" s="10">
        <v>3</v>
      </c>
      <c r="E175" s="10">
        <v>1</v>
      </c>
      <c r="F175" s="10">
        <v>109896.624164999</v>
      </c>
      <c r="G175" s="10">
        <v>41.973053125009699</v>
      </c>
    </row>
    <row r="176" spans="1:7" x14ac:dyDescent="0.2">
      <c r="A176" s="10" t="s">
        <v>9</v>
      </c>
      <c r="B176" s="10" t="s">
        <v>290</v>
      </c>
      <c r="C176" s="10">
        <v>8</v>
      </c>
      <c r="D176" s="10">
        <v>3</v>
      </c>
      <c r="E176" s="10">
        <v>1</v>
      </c>
      <c r="F176" s="10">
        <v>162528.73216499999</v>
      </c>
      <c r="G176" s="10">
        <v>46.426576291996703</v>
      </c>
    </row>
    <row r="177" spans="1:7" x14ac:dyDescent="0.2">
      <c r="A177" s="10" t="s">
        <v>9</v>
      </c>
      <c r="B177" s="10" t="s">
        <v>290</v>
      </c>
      <c r="C177" s="10">
        <v>10</v>
      </c>
      <c r="D177" s="10">
        <v>4</v>
      </c>
      <c r="E177" s="10">
        <v>1</v>
      </c>
      <c r="F177" s="10">
        <v>172260.51616499899</v>
      </c>
      <c r="G177" s="10">
        <v>59.920213874996897</v>
      </c>
    </row>
    <row r="178" spans="1:7" x14ac:dyDescent="0.2">
      <c r="A178" s="10" t="s">
        <v>9</v>
      </c>
      <c r="B178" s="10" t="s">
        <v>290</v>
      </c>
      <c r="C178" s="10">
        <v>12</v>
      </c>
      <c r="D178" s="10">
        <v>4</v>
      </c>
      <c r="E178" s="10">
        <v>1</v>
      </c>
      <c r="F178" s="10">
        <v>220398.312275</v>
      </c>
      <c r="G178" s="10">
        <v>333.24423612499902</v>
      </c>
    </row>
    <row r="179" spans="1:7" x14ac:dyDescent="0.2">
      <c r="A179" s="10" t="s">
        <v>9</v>
      </c>
      <c r="B179" s="10" t="s">
        <v>290</v>
      </c>
      <c r="C179" s="10">
        <v>14</v>
      </c>
      <c r="D179" s="10">
        <v>5</v>
      </c>
      <c r="E179" s="10">
        <v>1</v>
      </c>
      <c r="F179" s="10">
        <v>230733.948275</v>
      </c>
      <c r="G179" s="10">
        <v>259.62524095899403</v>
      </c>
    </row>
    <row r="180" spans="1:7" x14ac:dyDescent="0.2">
      <c r="A180" s="10" t="s">
        <v>9</v>
      </c>
      <c r="B180" s="10" t="s">
        <v>290</v>
      </c>
      <c r="C180" s="10">
        <v>16</v>
      </c>
      <c r="D180" s="10">
        <v>5</v>
      </c>
      <c r="E180" s="10">
        <v>1</v>
      </c>
      <c r="F180" s="10" t="s">
        <v>15</v>
      </c>
      <c r="G180" s="10" t="s">
        <v>32</v>
      </c>
    </row>
    <row r="181" spans="1:7" x14ac:dyDescent="0.2">
      <c r="A181" s="10" t="s">
        <v>9</v>
      </c>
      <c r="B181" s="10" t="s">
        <v>290</v>
      </c>
      <c r="C181" s="10">
        <v>18</v>
      </c>
      <c r="D181" s="10">
        <v>6</v>
      </c>
      <c r="E181" s="10">
        <v>1</v>
      </c>
      <c r="F181" s="10" t="s">
        <v>15</v>
      </c>
      <c r="G181" s="10" t="s">
        <v>32</v>
      </c>
    </row>
    <row r="182" spans="1:7" x14ac:dyDescent="0.2">
      <c r="A182" s="10" t="s">
        <v>9</v>
      </c>
      <c r="B182" s="10" t="s">
        <v>290</v>
      </c>
      <c r="C182" s="10">
        <v>20</v>
      </c>
      <c r="D182" s="10">
        <v>6</v>
      </c>
      <c r="E182" s="10">
        <v>1</v>
      </c>
      <c r="F182" s="10" t="s">
        <v>15</v>
      </c>
      <c r="G182" s="10" t="s">
        <v>32</v>
      </c>
    </row>
    <row r="183" spans="1:7" x14ac:dyDescent="0.2">
      <c r="A183" s="10" t="s">
        <v>9</v>
      </c>
      <c r="B183" s="10" t="s">
        <v>290</v>
      </c>
      <c r="C183" s="10">
        <v>22</v>
      </c>
      <c r="D183" s="10">
        <v>7</v>
      </c>
      <c r="E183" s="10">
        <v>1</v>
      </c>
      <c r="F183" s="10" t="s">
        <v>15</v>
      </c>
      <c r="G183" s="10" t="s">
        <v>32</v>
      </c>
    </row>
    <row r="184" spans="1:7" x14ac:dyDescent="0.2">
      <c r="A184" s="10"/>
      <c r="B184" s="10"/>
      <c r="C184" s="10"/>
      <c r="D184" s="10"/>
      <c r="E184" s="10"/>
      <c r="F184" s="10"/>
      <c r="G184" s="10"/>
    </row>
    <row r="185" spans="1:7" x14ac:dyDescent="0.2">
      <c r="A185" s="10" t="s">
        <v>9</v>
      </c>
      <c r="B185" s="10" t="s">
        <v>290</v>
      </c>
      <c r="C185" s="10">
        <v>4</v>
      </c>
      <c r="D185" s="10">
        <v>2</v>
      </c>
      <c r="E185" s="10">
        <v>0.5</v>
      </c>
      <c r="F185" s="10">
        <v>82624.588249999899</v>
      </c>
      <c r="G185" s="10">
        <v>33.045729499994103</v>
      </c>
    </row>
    <row r="186" spans="1:7" x14ac:dyDescent="0.2">
      <c r="A186" s="10" t="s">
        <v>9</v>
      </c>
      <c r="B186" s="10" t="s">
        <v>290</v>
      </c>
      <c r="C186" s="10">
        <v>6</v>
      </c>
      <c r="D186" s="10">
        <v>3</v>
      </c>
      <c r="E186" s="10">
        <v>0.5</v>
      </c>
      <c r="F186" s="10">
        <v>146353.88075000001</v>
      </c>
      <c r="G186" s="10">
        <v>65.490240416998802</v>
      </c>
    </row>
    <row r="187" spans="1:7" x14ac:dyDescent="0.2">
      <c r="A187" s="10" t="s">
        <v>9</v>
      </c>
      <c r="B187" s="10" t="s">
        <v>290</v>
      </c>
      <c r="C187" s="10">
        <v>8</v>
      </c>
      <c r="D187" s="10">
        <v>3</v>
      </c>
      <c r="E187" s="10">
        <v>0.5</v>
      </c>
      <c r="F187" s="10">
        <v>216809.12899999999</v>
      </c>
      <c r="G187" s="10">
        <v>56.166258999990497</v>
      </c>
    </row>
    <row r="188" spans="1:7" x14ac:dyDescent="0.2">
      <c r="A188" s="10" t="s">
        <v>9</v>
      </c>
      <c r="B188" s="10" t="s">
        <v>290</v>
      </c>
      <c r="C188" s="10">
        <v>10</v>
      </c>
      <c r="D188" s="10">
        <v>4</v>
      </c>
      <c r="E188" s="10">
        <v>0.5</v>
      </c>
      <c r="F188" s="10">
        <v>232596.570249999</v>
      </c>
      <c r="G188" s="10">
        <v>136.55128570800201</v>
      </c>
    </row>
    <row r="189" spans="1:7" x14ac:dyDescent="0.2">
      <c r="A189" s="10" t="s">
        <v>9</v>
      </c>
      <c r="B189" s="10" t="s">
        <v>290</v>
      </c>
      <c r="C189" s="10">
        <v>12</v>
      </c>
      <c r="D189" s="10">
        <v>4</v>
      </c>
      <c r="E189" s="10">
        <v>0.5</v>
      </c>
      <c r="F189" s="10">
        <v>304848.95849999902</v>
      </c>
      <c r="G189" s="10">
        <v>298.80562108399999</v>
      </c>
    </row>
    <row r="190" spans="1:7" x14ac:dyDescent="0.2">
      <c r="A190" s="10" t="s">
        <v>9</v>
      </c>
      <c r="B190" s="10" t="s">
        <v>290</v>
      </c>
      <c r="C190" s="10">
        <v>14</v>
      </c>
      <c r="D190" s="10">
        <v>5</v>
      </c>
      <c r="E190" s="10">
        <v>0.5</v>
      </c>
      <c r="F190" s="10">
        <v>317000.59849999897</v>
      </c>
      <c r="G190" s="10">
        <v>686.34032979200094</v>
      </c>
    </row>
    <row r="191" spans="1:7" x14ac:dyDescent="0.2">
      <c r="A191" s="10" t="s">
        <v>9</v>
      </c>
      <c r="B191" s="10" t="s">
        <v>290</v>
      </c>
      <c r="C191" s="10">
        <v>16</v>
      </c>
      <c r="D191" s="10">
        <v>5</v>
      </c>
      <c r="E191" s="10">
        <v>0.5</v>
      </c>
      <c r="F191" s="10">
        <v>401528.17274999898</v>
      </c>
      <c r="G191" s="10">
        <v>2283.9428469999898</v>
      </c>
    </row>
    <row r="192" spans="1:7" x14ac:dyDescent="0.2">
      <c r="A192" s="10" t="s">
        <v>9</v>
      </c>
      <c r="B192" s="10" t="s">
        <v>290</v>
      </c>
      <c r="C192" s="10">
        <v>18</v>
      </c>
      <c r="D192" s="10">
        <v>6</v>
      </c>
      <c r="E192" s="10">
        <v>0.5</v>
      </c>
      <c r="F192" s="10" t="s">
        <v>15</v>
      </c>
      <c r="G192" s="10" t="s">
        <v>32</v>
      </c>
    </row>
    <row r="193" spans="1:7" x14ac:dyDescent="0.2">
      <c r="A193" s="10" t="s">
        <v>9</v>
      </c>
      <c r="B193" s="10" t="s">
        <v>290</v>
      </c>
      <c r="C193" s="10">
        <v>20</v>
      </c>
      <c r="D193" s="10">
        <v>6</v>
      </c>
      <c r="E193" s="10">
        <v>0.5</v>
      </c>
      <c r="F193" s="10" t="s">
        <v>15</v>
      </c>
      <c r="G193" s="10" t="s">
        <v>32</v>
      </c>
    </row>
    <row r="194" spans="1:7" x14ac:dyDescent="0.2">
      <c r="A194" s="10" t="s">
        <v>9</v>
      </c>
      <c r="B194" s="10" t="s">
        <v>290</v>
      </c>
      <c r="C194" s="10">
        <v>22</v>
      </c>
      <c r="D194" s="10">
        <v>7</v>
      </c>
      <c r="E194" s="10">
        <v>0.5</v>
      </c>
      <c r="F194" s="10" t="s">
        <v>15</v>
      </c>
      <c r="G194" s="10" t="s">
        <v>32</v>
      </c>
    </row>
    <row r="195" spans="1:7" x14ac:dyDescent="0.2">
      <c r="A195" s="10"/>
      <c r="B195" s="10"/>
      <c r="C195" s="10"/>
      <c r="D195" s="10"/>
      <c r="E195" s="10"/>
      <c r="F195" s="10"/>
      <c r="G195" s="10"/>
    </row>
    <row r="196" spans="1:7" x14ac:dyDescent="0.2">
      <c r="A196" s="10" t="s">
        <v>9</v>
      </c>
      <c r="B196" s="10" t="s">
        <v>290</v>
      </c>
      <c r="C196" s="10">
        <v>4</v>
      </c>
      <c r="D196" s="10">
        <v>2</v>
      </c>
      <c r="E196" s="10">
        <v>0.3</v>
      </c>
      <c r="F196" s="10">
        <v>99459.003599999996</v>
      </c>
      <c r="G196" s="10">
        <v>36.598980708003999</v>
      </c>
    </row>
    <row r="197" spans="1:7" x14ac:dyDescent="0.2">
      <c r="A197" s="10" t="s">
        <v>9</v>
      </c>
      <c r="B197" s="10" t="s">
        <v>290</v>
      </c>
      <c r="C197" s="10">
        <v>6</v>
      </c>
      <c r="D197" s="10">
        <v>3</v>
      </c>
      <c r="E197" s="10">
        <v>0.3</v>
      </c>
      <c r="F197" s="10">
        <v>173287.0356</v>
      </c>
      <c r="G197" s="10">
        <v>107.987022625005</v>
      </c>
    </row>
    <row r="198" spans="1:7" x14ac:dyDescent="0.2">
      <c r="A198" s="10" t="s">
        <v>9</v>
      </c>
      <c r="B198" s="10" t="s">
        <v>290</v>
      </c>
      <c r="C198" s="10">
        <v>8</v>
      </c>
      <c r="D198" s="10">
        <v>3</v>
      </c>
      <c r="E198" s="10">
        <v>0.3</v>
      </c>
      <c r="F198" s="10" t="s">
        <v>15</v>
      </c>
      <c r="G198" s="10">
        <v>162.339861083004</v>
      </c>
    </row>
    <row r="199" spans="1:7" x14ac:dyDescent="0.2">
      <c r="A199" s="10" t="s">
        <v>9</v>
      </c>
      <c r="B199" s="10" t="s">
        <v>290</v>
      </c>
      <c r="C199" s="10">
        <v>10</v>
      </c>
      <c r="D199" s="10">
        <v>4</v>
      </c>
      <c r="E199" s="10">
        <v>0.3</v>
      </c>
      <c r="F199" s="10" t="s">
        <v>15</v>
      </c>
      <c r="G199" s="10">
        <v>307.14070037500602</v>
      </c>
    </row>
    <row r="200" spans="1:7" x14ac:dyDescent="0.2">
      <c r="A200" s="10" t="s">
        <v>9</v>
      </c>
      <c r="B200" s="10" t="s">
        <v>290</v>
      </c>
      <c r="C200" s="10">
        <v>12</v>
      </c>
      <c r="D200" s="10">
        <v>4</v>
      </c>
      <c r="E200" s="10">
        <v>0.3</v>
      </c>
      <c r="F200" s="10" t="s">
        <v>15</v>
      </c>
      <c r="G200" s="10">
        <v>770.64751770799899</v>
      </c>
    </row>
    <row r="201" spans="1:7" x14ac:dyDescent="0.2">
      <c r="A201" s="10" t="s">
        <v>9</v>
      </c>
      <c r="B201" s="10" t="s">
        <v>290</v>
      </c>
      <c r="C201" s="10">
        <v>14</v>
      </c>
      <c r="D201" s="10">
        <v>5</v>
      </c>
      <c r="E201" s="10">
        <v>0.3</v>
      </c>
      <c r="F201" s="10" t="s">
        <v>15</v>
      </c>
      <c r="G201" s="10">
        <v>913.52445216701005</v>
      </c>
    </row>
    <row r="202" spans="1:7" x14ac:dyDescent="0.2">
      <c r="A202" s="10" t="s">
        <v>9</v>
      </c>
      <c r="B202" s="10" t="s">
        <v>290</v>
      </c>
      <c r="C202" s="10">
        <v>16</v>
      </c>
      <c r="D202" s="10">
        <v>5</v>
      </c>
      <c r="E202" s="10">
        <v>0.3</v>
      </c>
      <c r="F202" s="10" t="s">
        <v>15</v>
      </c>
      <c r="G202" s="10">
        <v>2298.6082339999898</v>
      </c>
    </row>
    <row r="203" spans="1:7" x14ac:dyDescent="0.2">
      <c r="A203" s="10" t="s">
        <v>9</v>
      </c>
      <c r="B203" s="10" t="s">
        <v>290</v>
      </c>
      <c r="C203" s="10">
        <v>18</v>
      </c>
      <c r="D203" s="10">
        <v>6</v>
      </c>
      <c r="E203" s="10">
        <v>0.3</v>
      </c>
      <c r="F203" s="10" t="s">
        <v>15</v>
      </c>
      <c r="G203" s="10" t="s">
        <v>32</v>
      </c>
    </row>
    <row r="204" spans="1:7" x14ac:dyDescent="0.2">
      <c r="A204" s="10" t="s">
        <v>9</v>
      </c>
      <c r="B204" s="10" t="s">
        <v>290</v>
      </c>
      <c r="C204" s="10">
        <v>20</v>
      </c>
      <c r="D204" s="10">
        <v>6</v>
      </c>
      <c r="E204" s="10">
        <v>0.3</v>
      </c>
      <c r="F204" s="10" t="s">
        <v>15</v>
      </c>
      <c r="G204" s="10" t="s">
        <v>32</v>
      </c>
    </row>
    <row r="205" spans="1:7" x14ac:dyDescent="0.2">
      <c r="A205" s="10" t="s">
        <v>9</v>
      </c>
      <c r="B205" s="10" t="s">
        <v>290</v>
      </c>
      <c r="C205" s="10">
        <v>22</v>
      </c>
      <c r="D205" s="10">
        <v>7</v>
      </c>
      <c r="E205" s="10">
        <v>0.3</v>
      </c>
      <c r="F205" s="10" t="s">
        <v>15</v>
      </c>
      <c r="G205" s="10" t="s">
        <v>32</v>
      </c>
    </row>
    <row r="206" spans="1:7" x14ac:dyDescent="0.2">
      <c r="A206" s="10"/>
      <c r="B206" s="10"/>
      <c r="C206" s="10"/>
      <c r="D206" s="10"/>
      <c r="E206" s="10"/>
      <c r="F206" s="10"/>
      <c r="G206" s="10"/>
    </row>
    <row r="207" spans="1:7" x14ac:dyDescent="0.2">
      <c r="A207" s="10" t="s">
        <v>10</v>
      </c>
      <c r="B207" s="10" t="s">
        <v>290</v>
      </c>
      <c r="C207" s="10">
        <v>4</v>
      </c>
      <c r="D207" s="10">
        <v>1</v>
      </c>
      <c r="E207" s="10">
        <v>1</v>
      </c>
      <c r="F207" s="10">
        <v>57884.196109999997</v>
      </c>
      <c r="G207" s="10">
        <v>23.992979667003901</v>
      </c>
    </row>
    <row r="208" spans="1:7" x14ac:dyDescent="0.2">
      <c r="A208" s="10" t="s">
        <v>10</v>
      </c>
      <c r="B208" s="10" t="s">
        <v>290</v>
      </c>
      <c r="C208" s="10">
        <v>6</v>
      </c>
      <c r="D208" s="10">
        <v>2</v>
      </c>
      <c r="E208" s="10">
        <v>1</v>
      </c>
      <c r="F208" s="10">
        <v>115338.73211</v>
      </c>
      <c r="G208" s="10">
        <v>34.139941582994602</v>
      </c>
    </row>
    <row r="209" spans="1:7" x14ac:dyDescent="0.2">
      <c r="A209" s="10" t="s">
        <v>10</v>
      </c>
      <c r="B209" s="10" t="s">
        <v>290</v>
      </c>
      <c r="C209" s="10">
        <v>8</v>
      </c>
      <c r="D209" s="10">
        <v>3</v>
      </c>
      <c r="E209" s="10">
        <v>1</v>
      </c>
      <c r="F209" s="10">
        <v>137864.80811000001</v>
      </c>
      <c r="G209" s="10">
        <v>42.040718042000599</v>
      </c>
    </row>
    <row r="210" spans="1:7" x14ac:dyDescent="0.2">
      <c r="A210" s="10" t="s">
        <v>10</v>
      </c>
      <c r="B210" s="10" t="s">
        <v>290</v>
      </c>
      <c r="C210" s="10">
        <v>10</v>
      </c>
      <c r="D210" s="10">
        <v>3</v>
      </c>
      <c r="E210" s="10">
        <v>1</v>
      </c>
      <c r="F210" s="10">
        <v>181611.19216499999</v>
      </c>
      <c r="G210" s="10">
        <v>76.805319000006406</v>
      </c>
    </row>
    <row r="211" spans="1:7" x14ac:dyDescent="0.2">
      <c r="A211" s="10" t="s">
        <v>10</v>
      </c>
      <c r="B211" s="10" t="s">
        <v>290</v>
      </c>
      <c r="C211" s="10">
        <v>12</v>
      </c>
      <c r="D211" s="10">
        <v>4</v>
      </c>
      <c r="E211" s="10">
        <v>1</v>
      </c>
      <c r="F211" s="10" t="s">
        <v>15</v>
      </c>
      <c r="G211" s="10" t="s">
        <v>32</v>
      </c>
    </row>
    <row r="212" spans="1:7" x14ac:dyDescent="0.2">
      <c r="A212" s="10" t="s">
        <v>10</v>
      </c>
      <c r="B212" s="10" t="s">
        <v>290</v>
      </c>
      <c r="C212" s="10">
        <v>14</v>
      </c>
      <c r="D212" s="10">
        <v>4</v>
      </c>
      <c r="E212" s="10">
        <v>1</v>
      </c>
      <c r="F212" s="10">
        <v>244687.06833000001</v>
      </c>
      <c r="G212" s="10">
        <v>767.37556600000198</v>
      </c>
    </row>
    <row r="213" spans="1:7" x14ac:dyDescent="0.2">
      <c r="A213" s="10" t="s">
        <v>10</v>
      </c>
      <c r="B213" s="10" t="s">
        <v>290</v>
      </c>
      <c r="C213" s="10">
        <v>16</v>
      </c>
      <c r="D213" s="10">
        <v>5</v>
      </c>
      <c r="E213" s="10">
        <v>1</v>
      </c>
      <c r="F213" s="10" t="s">
        <v>15</v>
      </c>
      <c r="G213" s="10" t="s">
        <v>32</v>
      </c>
    </row>
    <row r="214" spans="1:7" x14ac:dyDescent="0.2">
      <c r="A214" s="10" t="s">
        <v>10</v>
      </c>
      <c r="B214" s="10" t="s">
        <v>290</v>
      </c>
      <c r="C214" s="10">
        <v>18</v>
      </c>
      <c r="D214" s="10">
        <v>6</v>
      </c>
      <c r="E214" s="10">
        <v>1</v>
      </c>
      <c r="F214" s="10" t="s">
        <v>15</v>
      </c>
      <c r="G214" s="10" t="s">
        <v>32</v>
      </c>
    </row>
    <row r="215" spans="1:7" x14ac:dyDescent="0.2">
      <c r="A215" s="10" t="s">
        <v>10</v>
      </c>
      <c r="B215" s="10" t="s">
        <v>290</v>
      </c>
      <c r="C215" s="10">
        <v>20</v>
      </c>
      <c r="D215" s="10">
        <v>6</v>
      </c>
      <c r="E215" s="10">
        <v>1</v>
      </c>
      <c r="F215" s="10" t="s">
        <v>15</v>
      </c>
      <c r="G215" s="10" t="s">
        <v>32</v>
      </c>
    </row>
    <row r="216" spans="1:7" x14ac:dyDescent="0.2">
      <c r="A216" s="10" t="s">
        <v>10</v>
      </c>
      <c r="B216" s="10" t="s">
        <v>290</v>
      </c>
      <c r="C216" s="10">
        <v>22</v>
      </c>
      <c r="D216" s="10">
        <v>7</v>
      </c>
      <c r="E216" s="10">
        <v>1</v>
      </c>
      <c r="F216" s="10" t="s">
        <v>15</v>
      </c>
      <c r="G216" s="10" t="s">
        <v>32</v>
      </c>
    </row>
    <row r="217" spans="1:7" x14ac:dyDescent="0.2">
      <c r="A217" s="10"/>
      <c r="B217" s="10"/>
      <c r="C217" s="10"/>
      <c r="D217" s="10"/>
      <c r="E217" s="10"/>
      <c r="F217" s="10"/>
      <c r="G217" s="10"/>
    </row>
    <row r="218" spans="1:7" x14ac:dyDescent="0.2">
      <c r="A218" s="10" t="s">
        <v>10</v>
      </c>
      <c r="B218" s="10" t="s">
        <v>290</v>
      </c>
      <c r="C218" s="10">
        <v>4</v>
      </c>
      <c r="D218" s="10">
        <v>1</v>
      </c>
      <c r="E218" s="10">
        <v>0.5</v>
      </c>
      <c r="F218" s="10" t="s">
        <v>15</v>
      </c>
      <c r="G218" s="10">
        <v>21.9282114160014</v>
      </c>
    </row>
    <row r="219" spans="1:7" x14ac:dyDescent="0.2">
      <c r="A219" s="10" t="s">
        <v>10</v>
      </c>
      <c r="B219" s="10" t="s">
        <v>290</v>
      </c>
      <c r="C219" s="10">
        <v>6</v>
      </c>
      <c r="D219" s="10">
        <v>2</v>
      </c>
      <c r="E219" s="10">
        <v>0.5</v>
      </c>
      <c r="F219" s="10" t="s">
        <v>15</v>
      </c>
      <c r="G219" s="10">
        <v>29.767432458000201</v>
      </c>
    </row>
    <row r="220" spans="1:7" x14ac:dyDescent="0.2">
      <c r="A220" s="10" t="s">
        <v>10</v>
      </c>
      <c r="B220" s="10" t="s">
        <v>290</v>
      </c>
      <c r="C220" s="10">
        <v>8</v>
      </c>
      <c r="D220" s="10">
        <v>3</v>
      </c>
      <c r="E220" s="10">
        <v>0.5</v>
      </c>
      <c r="F220" s="10" t="s">
        <v>15</v>
      </c>
      <c r="G220" s="10">
        <v>41.437708083991303</v>
      </c>
    </row>
    <row r="221" spans="1:7" x14ac:dyDescent="0.2">
      <c r="A221" s="10" t="s">
        <v>10</v>
      </c>
      <c r="B221" s="10" t="s">
        <v>290</v>
      </c>
      <c r="C221" s="10">
        <v>10</v>
      </c>
      <c r="D221" s="10">
        <v>3</v>
      </c>
      <c r="E221" s="10">
        <v>0.5</v>
      </c>
      <c r="F221" s="10">
        <v>254712.10074999899</v>
      </c>
      <c r="G221" s="10">
        <v>258.99005133300602</v>
      </c>
    </row>
    <row r="222" spans="1:7" x14ac:dyDescent="0.2">
      <c r="A222" s="10" t="s">
        <v>10</v>
      </c>
      <c r="B222" s="10" t="s">
        <v>290</v>
      </c>
      <c r="C222" s="10">
        <v>12</v>
      </c>
      <c r="D222" s="10">
        <v>4</v>
      </c>
      <c r="E222" s="10">
        <v>0.5</v>
      </c>
      <c r="F222" s="10">
        <v>321130.92299999902</v>
      </c>
      <c r="G222" s="10">
        <v>1250.0327069999901</v>
      </c>
    </row>
    <row r="223" spans="1:7" x14ac:dyDescent="0.2">
      <c r="A223" s="10" t="s">
        <v>10</v>
      </c>
      <c r="B223" s="10" t="s">
        <v>290</v>
      </c>
      <c r="C223" s="10">
        <v>14</v>
      </c>
      <c r="D223" s="10">
        <v>4</v>
      </c>
      <c r="E223" s="10">
        <v>0.5</v>
      </c>
      <c r="F223" s="10">
        <v>335080.83875</v>
      </c>
      <c r="G223" s="10">
        <v>2647.5487038749998</v>
      </c>
    </row>
    <row r="224" spans="1:7" x14ac:dyDescent="0.2">
      <c r="A224" s="10" t="s">
        <v>10</v>
      </c>
      <c r="B224" s="10" t="s">
        <v>290</v>
      </c>
      <c r="C224" s="10">
        <v>16</v>
      </c>
      <c r="D224" s="10">
        <v>5</v>
      </c>
      <c r="E224" s="10">
        <v>0.5</v>
      </c>
      <c r="F224" s="10">
        <v>394926.75124999997</v>
      </c>
      <c r="G224" s="10">
        <v>9053.867903458</v>
      </c>
    </row>
    <row r="225" spans="1:7" x14ac:dyDescent="0.2">
      <c r="A225" s="10" t="s">
        <v>10</v>
      </c>
      <c r="B225" s="10" t="s">
        <v>290</v>
      </c>
      <c r="C225" s="10">
        <v>18</v>
      </c>
      <c r="D225" s="10">
        <v>6</v>
      </c>
      <c r="E225" s="10">
        <v>0.5</v>
      </c>
      <c r="F225" s="10" t="s">
        <v>15</v>
      </c>
      <c r="G225" s="10" t="s">
        <v>32</v>
      </c>
    </row>
    <row r="226" spans="1:7" x14ac:dyDescent="0.2">
      <c r="A226" s="10" t="s">
        <v>10</v>
      </c>
      <c r="B226" s="10" t="s">
        <v>290</v>
      </c>
      <c r="C226" s="10">
        <v>20</v>
      </c>
      <c r="D226" s="10">
        <v>6</v>
      </c>
      <c r="E226" s="10">
        <v>0.5</v>
      </c>
      <c r="F226" s="10" t="s">
        <v>15</v>
      </c>
      <c r="G226" s="10" t="s">
        <v>32</v>
      </c>
    </row>
    <row r="227" spans="1:7" x14ac:dyDescent="0.2">
      <c r="A227" s="10" t="s">
        <v>10</v>
      </c>
      <c r="B227" s="10" t="s">
        <v>290</v>
      </c>
      <c r="C227" s="10">
        <v>22</v>
      </c>
      <c r="D227" s="10">
        <v>7</v>
      </c>
      <c r="E227" s="10">
        <v>0.5</v>
      </c>
      <c r="F227" s="10" t="s">
        <v>15</v>
      </c>
      <c r="G227" s="10" t="s">
        <v>32</v>
      </c>
    </row>
    <row r="228" spans="1:7" x14ac:dyDescent="0.2">
      <c r="A228" s="10"/>
      <c r="B228" s="10"/>
      <c r="C228" s="10"/>
      <c r="D228" s="10"/>
      <c r="E228" s="10"/>
      <c r="F228" s="10"/>
      <c r="G228" s="10"/>
    </row>
    <row r="229" spans="1:7" x14ac:dyDescent="0.2">
      <c r="A229" s="10" t="s">
        <v>10</v>
      </c>
      <c r="B229" s="10" t="s">
        <v>290</v>
      </c>
      <c r="C229" s="10">
        <v>4</v>
      </c>
      <c r="D229" s="10">
        <v>1</v>
      </c>
      <c r="E229" s="10">
        <v>0.3</v>
      </c>
      <c r="F229" s="10" t="s">
        <v>15</v>
      </c>
      <c r="G229" s="10">
        <v>21.965199042009701</v>
      </c>
    </row>
    <row r="230" spans="1:7" x14ac:dyDescent="0.2">
      <c r="A230" s="10" t="s">
        <v>10</v>
      </c>
      <c r="B230" s="10" t="s">
        <v>290</v>
      </c>
      <c r="C230" s="10">
        <v>6</v>
      </c>
      <c r="D230" s="10">
        <v>2</v>
      </c>
      <c r="E230" s="10">
        <v>0.3</v>
      </c>
      <c r="F230" s="10" t="s">
        <v>15</v>
      </c>
      <c r="G230" s="10">
        <v>29.629845957999301</v>
      </c>
    </row>
    <row r="231" spans="1:7" x14ac:dyDescent="0.2">
      <c r="A231" s="10" t="s">
        <v>10</v>
      </c>
      <c r="B231" s="10" t="s">
        <v>290</v>
      </c>
      <c r="C231" s="10">
        <v>8</v>
      </c>
      <c r="D231" s="10">
        <v>3</v>
      </c>
      <c r="E231" s="10">
        <v>0.3</v>
      </c>
      <c r="F231" s="10" t="s">
        <v>15</v>
      </c>
      <c r="G231" s="10">
        <v>41.585732917010297</v>
      </c>
    </row>
    <row r="232" spans="1:7" x14ac:dyDescent="0.2">
      <c r="A232" s="10" t="s">
        <v>10</v>
      </c>
      <c r="B232" s="10" t="s">
        <v>290</v>
      </c>
      <c r="C232" s="10">
        <v>10</v>
      </c>
      <c r="D232" s="10">
        <v>3</v>
      </c>
      <c r="E232" s="10">
        <v>0.3</v>
      </c>
      <c r="F232" s="10" t="s">
        <v>15</v>
      </c>
      <c r="G232" s="10">
        <v>730.06137524999201</v>
      </c>
    </row>
    <row r="233" spans="1:7" x14ac:dyDescent="0.2">
      <c r="A233" s="10" t="s">
        <v>10</v>
      </c>
      <c r="B233" s="10" t="s">
        <v>290</v>
      </c>
      <c r="C233" s="10">
        <v>12</v>
      </c>
      <c r="D233" s="10">
        <v>4</v>
      </c>
      <c r="E233" s="10">
        <v>0.3</v>
      </c>
      <c r="F233" s="10" t="s">
        <v>15</v>
      </c>
      <c r="G233" s="10">
        <v>1438.96759937499</v>
      </c>
    </row>
    <row r="234" spans="1:7" x14ac:dyDescent="0.2">
      <c r="A234" s="10" t="s">
        <v>10</v>
      </c>
      <c r="B234" s="10" t="s">
        <v>290</v>
      </c>
      <c r="C234" s="10">
        <v>14</v>
      </c>
      <c r="D234" s="10">
        <v>4</v>
      </c>
      <c r="E234" s="10">
        <v>0.3</v>
      </c>
      <c r="F234" s="10" t="s">
        <v>15</v>
      </c>
      <c r="G234" s="10">
        <v>2814.4324920419999</v>
      </c>
    </row>
    <row r="235" spans="1:7" x14ac:dyDescent="0.2">
      <c r="A235" s="10" t="s">
        <v>10</v>
      </c>
      <c r="B235" s="10" t="s">
        <v>290</v>
      </c>
      <c r="C235" s="10">
        <v>16</v>
      </c>
      <c r="D235" s="10">
        <v>5</v>
      </c>
      <c r="E235" s="10">
        <v>0.3</v>
      </c>
      <c r="F235" s="10" t="s">
        <v>15</v>
      </c>
      <c r="G235" s="10">
        <v>5559.1821702079997</v>
      </c>
    </row>
    <row r="236" spans="1:7" x14ac:dyDescent="0.2">
      <c r="A236" s="10" t="s">
        <v>10</v>
      </c>
      <c r="B236" s="10" t="s">
        <v>290</v>
      </c>
      <c r="C236" s="10">
        <v>18</v>
      </c>
      <c r="D236" s="10">
        <v>6</v>
      </c>
      <c r="E236" s="10">
        <v>0.3</v>
      </c>
      <c r="F236" s="10" t="s">
        <v>15</v>
      </c>
      <c r="G236" s="10" t="s">
        <v>32</v>
      </c>
    </row>
    <row r="237" spans="1:7" x14ac:dyDescent="0.2">
      <c r="A237" s="10" t="s">
        <v>10</v>
      </c>
      <c r="B237" s="10" t="s">
        <v>290</v>
      </c>
      <c r="C237" s="10">
        <v>20</v>
      </c>
      <c r="D237" s="10">
        <v>6</v>
      </c>
      <c r="E237" s="10">
        <v>0.3</v>
      </c>
      <c r="F237" s="10" t="s">
        <v>15</v>
      </c>
      <c r="G237" s="10" t="s">
        <v>32</v>
      </c>
    </row>
    <row r="238" spans="1:7" x14ac:dyDescent="0.2">
      <c r="A238" s="10" t="s">
        <v>10</v>
      </c>
      <c r="B238" s="10" t="s">
        <v>290</v>
      </c>
      <c r="C238" s="10">
        <v>22</v>
      </c>
      <c r="D238" s="10">
        <v>7</v>
      </c>
      <c r="E238" s="10">
        <v>0.3</v>
      </c>
      <c r="F238" s="10" t="s">
        <v>15</v>
      </c>
      <c r="G238" s="10" t="s">
        <v>32</v>
      </c>
    </row>
    <row r="239" spans="1:7" x14ac:dyDescent="0.2">
      <c r="A239" s="10"/>
      <c r="B239" s="10"/>
      <c r="C239" s="10"/>
      <c r="D239" s="10"/>
      <c r="E239" s="10"/>
      <c r="F239" s="10"/>
      <c r="G239" s="10"/>
    </row>
    <row r="240" spans="1:7" x14ac:dyDescent="0.2">
      <c r="A240" s="10" t="s">
        <v>11</v>
      </c>
      <c r="B240" s="10" t="s">
        <v>290</v>
      </c>
      <c r="C240" s="10">
        <v>4</v>
      </c>
      <c r="D240" s="10">
        <v>1</v>
      </c>
      <c r="E240" s="10">
        <v>1</v>
      </c>
      <c r="F240" s="10">
        <v>62091.684054999998</v>
      </c>
      <c r="G240" s="10">
        <v>27.7744813339995</v>
      </c>
    </row>
    <row r="241" spans="1:7" x14ac:dyDescent="0.2">
      <c r="A241" s="10" t="s">
        <v>11</v>
      </c>
      <c r="B241" s="10" t="s">
        <v>290</v>
      </c>
      <c r="C241" s="10">
        <v>6</v>
      </c>
      <c r="D241" s="10">
        <v>2</v>
      </c>
      <c r="E241" s="10">
        <v>1</v>
      </c>
      <c r="F241" s="10">
        <v>107325.276164999</v>
      </c>
      <c r="G241" s="10">
        <v>33.676978874998802</v>
      </c>
    </row>
    <row r="242" spans="1:7" x14ac:dyDescent="0.2">
      <c r="A242" s="10" t="s">
        <v>11</v>
      </c>
      <c r="B242" s="10" t="s">
        <v>290</v>
      </c>
      <c r="C242" s="10">
        <v>8</v>
      </c>
      <c r="D242" s="10">
        <v>3</v>
      </c>
      <c r="E242" s="10">
        <v>1</v>
      </c>
      <c r="F242" s="10">
        <v>140813.82011</v>
      </c>
      <c r="G242" s="10">
        <v>41.755534457999602</v>
      </c>
    </row>
    <row r="243" spans="1:7" x14ac:dyDescent="0.2">
      <c r="A243" s="10" t="s">
        <v>11</v>
      </c>
      <c r="B243" s="10" t="s">
        <v>290</v>
      </c>
      <c r="C243" s="10">
        <v>10</v>
      </c>
      <c r="D243" s="10">
        <v>3</v>
      </c>
      <c r="E243" s="10">
        <v>1</v>
      </c>
      <c r="F243" s="10">
        <v>171577.044165</v>
      </c>
      <c r="G243" s="10">
        <v>59.267438582999603</v>
      </c>
    </row>
    <row r="244" spans="1:7" x14ac:dyDescent="0.2">
      <c r="A244" s="10" t="s">
        <v>11</v>
      </c>
      <c r="B244" s="10" t="s">
        <v>290</v>
      </c>
      <c r="C244" s="10">
        <v>12</v>
      </c>
      <c r="D244" s="10">
        <v>4</v>
      </c>
      <c r="E244" s="10">
        <v>1</v>
      </c>
      <c r="F244" s="10">
        <v>198273.93622</v>
      </c>
      <c r="G244" s="10">
        <v>119.55376541699999</v>
      </c>
    </row>
    <row r="245" spans="1:7" x14ac:dyDescent="0.2">
      <c r="A245" s="10" t="s">
        <v>11</v>
      </c>
      <c r="B245" s="10" t="s">
        <v>290</v>
      </c>
      <c r="C245" s="10">
        <v>14</v>
      </c>
      <c r="D245" s="10">
        <v>4</v>
      </c>
      <c r="E245" s="10">
        <v>1</v>
      </c>
      <c r="F245" s="10">
        <v>226130.48416499901</v>
      </c>
      <c r="G245" s="10">
        <v>1021.543511083</v>
      </c>
    </row>
    <row r="246" spans="1:7" x14ac:dyDescent="0.2">
      <c r="A246" s="10" t="s">
        <v>11</v>
      </c>
      <c r="B246" s="10" t="s">
        <v>290</v>
      </c>
      <c r="C246" s="10">
        <v>16</v>
      </c>
      <c r="D246" s="10">
        <v>5</v>
      </c>
      <c r="E246" s="10">
        <v>1</v>
      </c>
      <c r="F246" s="10">
        <v>260423.06427499899</v>
      </c>
      <c r="G246" s="10">
        <v>1470.0103148329999</v>
      </c>
    </row>
    <row r="247" spans="1:7" x14ac:dyDescent="0.2">
      <c r="A247" s="10" t="s">
        <v>11</v>
      </c>
      <c r="B247" s="10" t="s">
        <v>290</v>
      </c>
      <c r="C247" s="10">
        <v>18</v>
      </c>
      <c r="D247" s="10">
        <v>5</v>
      </c>
      <c r="E247" s="10">
        <v>1</v>
      </c>
      <c r="F247" s="10" t="s">
        <v>15</v>
      </c>
      <c r="G247" s="10" t="s">
        <v>32</v>
      </c>
    </row>
    <row r="248" spans="1:7" x14ac:dyDescent="0.2">
      <c r="A248" s="10" t="s">
        <v>11</v>
      </c>
      <c r="B248" s="10" t="s">
        <v>290</v>
      </c>
      <c r="C248" s="10">
        <v>20</v>
      </c>
      <c r="D248" s="10">
        <v>6</v>
      </c>
      <c r="E248" s="10">
        <v>1</v>
      </c>
      <c r="F248" s="10" t="s">
        <v>15</v>
      </c>
      <c r="G248" s="10" t="s">
        <v>32</v>
      </c>
    </row>
    <row r="249" spans="1:7" x14ac:dyDescent="0.2">
      <c r="A249" s="10" t="s">
        <v>11</v>
      </c>
      <c r="B249" s="10" t="s">
        <v>290</v>
      </c>
      <c r="C249" s="10">
        <v>22</v>
      </c>
      <c r="D249" s="10">
        <v>7</v>
      </c>
      <c r="E249" s="10">
        <v>1</v>
      </c>
      <c r="F249" s="10" t="s">
        <v>15</v>
      </c>
      <c r="G249" s="10" t="s">
        <v>32</v>
      </c>
    </row>
    <row r="250" spans="1:7" x14ac:dyDescent="0.2">
      <c r="A250" s="10"/>
      <c r="B250" s="10"/>
      <c r="C250" s="10"/>
      <c r="D250" s="10"/>
      <c r="E250" s="10"/>
      <c r="F250" s="10"/>
      <c r="G250" s="10"/>
    </row>
    <row r="251" spans="1:7" x14ac:dyDescent="0.2">
      <c r="A251" s="10" t="s">
        <v>11</v>
      </c>
      <c r="B251" s="10" t="s">
        <v>290</v>
      </c>
      <c r="C251" s="10">
        <v>4</v>
      </c>
      <c r="D251" s="10">
        <v>1</v>
      </c>
      <c r="E251" s="10">
        <v>0.5</v>
      </c>
      <c r="F251" s="10">
        <v>81002.427499999903</v>
      </c>
      <c r="G251" s="10">
        <v>30.563066042001001</v>
      </c>
    </row>
    <row r="252" spans="1:7" x14ac:dyDescent="0.2">
      <c r="A252" s="10" t="s">
        <v>11</v>
      </c>
      <c r="B252" s="10" t="s">
        <v>290</v>
      </c>
      <c r="C252" s="10">
        <v>6</v>
      </c>
      <c r="D252" s="10">
        <v>2</v>
      </c>
      <c r="E252" s="10">
        <v>0.5</v>
      </c>
      <c r="F252" s="10">
        <v>148925.73499999999</v>
      </c>
      <c r="G252" s="10">
        <v>52.033094541000501</v>
      </c>
    </row>
    <row r="253" spans="1:7" x14ac:dyDescent="0.2">
      <c r="A253" s="10" t="s">
        <v>11</v>
      </c>
      <c r="B253" s="10" t="s">
        <v>290</v>
      </c>
      <c r="C253" s="10">
        <v>8</v>
      </c>
      <c r="D253" s="10">
        <v>3</v>
      </c>
      <c r="E253" s="10">
        <v>0.5</v>
      </c>
      <c r="F253" s="10">
        <v>191841.33199999901</v>
      </c>
      <c r="G253" s="10">
        <v>46.620155290998802</v>
      </c>
    </row>
    <row r="254" spans="1:7" x14ac:dyDescent="0.2">
      <c r="A254" s="10" t="s">
        <v>11</v>
      </c>
      <c r="B254" s="10" t="s">
        <v>290</v>
      </c>
      <c r="C254" s="10">
        <v>10</v>
      </c>
      <c r="D254" s="10">
        <v>3</v>
      </c>
      <c r="E254" s="10">
        <v>0.5</v>
      </c>
      <c r="F254" s="10">
        <v>240059.09692499999</v>
      </c>
      <c r="G254" s="10">
        <v>93.442975334000906</v>
      </c>
    </row>
    <row r="255" spans="1:7" x14ac:dyDescent="0.2">
      <c r="A255" s="10" t="s">
        <v>11</v>
      </c>
      <c r="B255" s="10" t="s">
        <v>290</v>
      </c>
      <c r="C255" s="10">
        <v>12</v>
      </c>
      <c r="D255" s="10">
        <v>4</v>
      </c>
      <c r="E255" s="10">
        <v>0.5</v>
      </c>
      <c r="F255" s="10">
        <v>268885.47899999999</v>
      </c>
      <c r="G255" s="10">
        <v>266.004207458998</v>
      </c>
    </row>
    <row r="256" spans="1:7" x14ac:dyDescent="0.2">
      <c r="A256" s="10" t="s">
        <v>11</v>
      </c>
      <c r="B256" s="10" t="s">
        <v>290</v>
      </c>
      <c r="C256" s="10">
        <v>14</v>
      </c>
      <c r="D256" s="10">
        <v>4</v>
      </c>
      <c r="E256" s="10">
        <v>0.5</v>
      </c>
      <c r="F256" s="10">
        <v>313014.44049999898</v>
      </c>
      <c r="G256" s="10">
        <v>887.81593262499803</v>
      </c>
    </row>
    <row r="257" spans="1:7" x14ac:dyDescent="0.2">
      <c r="A257" s="10" t="s">
        <v>11</v>
      </c>
      <c r="B257" s="10" t="s">
        <v>290</v>
      </c>
      <c r="C257" s="10">
        <v>16</v>
      </c>
      <c r="D257" s="10">
        <v>5</v>
      </c>
      <c r="E257" s="10">
        <v>0.5</v>
      </c>
      <c r="F257" s="10">
        <v>346131.87799999898</v>
      </c>
      <c r="G257" s="10">
        <v>2732.3385221669901</v>
      </c>
    </row>
    <row r="258" spans="1:7" x14ac:dyDescent="0.2">
      <c r="A258" s="10" t="s">
        <v>11</v>
      </c>
      <c r="B258" s="10" t="s">
        <v>290</v>
      </c>
      <c r="C258" s="10">
        <v>18</v>
      </c>
      <c r="D258" s="10">
        <v>5</v>
      </c>
      <c r="E258" s="10">
        <v>0.5</v>
      </c>
      <c r="F258" s="10" t="s">
        <v>15</v>
      </c>
      <c r="G258" s="10" t="s">
        <v>32</v>
      </c>
    </row>
    <row r="259" spans="1:7" x14ac:dyDescent="0.2">
      <c r="A259" s="10" t="s">
        <v>11</v>
      </c>
      <c r="B259" s="10" t="s">
        <v>290</v>
      </c>
      <c r="C259" s="10">
        <v>20</v>
      </c>
      <c r="D259" s="10">
        <v>6</v>
      </c>
      <c r="E259" s="10">
        <v>0.5</v>
      </c>
      <c r="F259" s="10" t="s">
        <v>15</v>
      </c>
      <c r="G259" s="10" t="s">
        <v>32</v>
      </c>
    </row>
    <row r="260" spans="1:7" x14ac:dyDescent="0.2">
      <c r="A260" s="10" t="s">
        <v>11</v>
      </c>
      <c r="B260" s="10" t="s">
        <v>290</v>
      </c>
      <c r="C260" s="10">
        <v>22</v>
      </c>
      <c r="D260" s="10">
        <v>7</v>
      </c>
      <c r="E260" s="10">
        <v>0.5</v>
      </c>
      <c r="F260" s="10" t="s">
        <v>15</v>
      </c>
      <c r="G260" s="10" t="s">
        <v>32</v>
      </c>
    </row>
    <row r="261" spans="1:7" x14ac:dyDescent="0.2">
      <c r="A261" s="10"/>
      <c r="B261" s="10"/>
      <c r="C261" s="10"/>
      <c r="D261" s="10"/>
      <c r="E261" s="10"/>
      <c r="F261" s="10"/>
      <c r="G261" s="10"/>
    </row>
    <row r="262" spans="1:7" x14ac:dyDescent="0.2">
      <c r="A262" s="10" t="s">
        <v>11</v>
      </c>
      <c r="B262" s="10" t="s">
        <v>290</v>
      </c>
      <c r="C262" s="10">
        <v>4</v>
      </c>
      <c r="D262" s="10">
        <v>1</v>
      </c>
      <c r="E262" s="10">
        <v>0.3</v>
      </c>
      <c r="F262" s="10" t="s">
        <v>15</v>
      </c>
      <c r="G262" s="10">
        <v>21.936419707999399</v>
      </c>
    </row>
    <row r="263" spans="1:7" x14ac:dyDescent="0.2">
      <c r="A263" s="10" t="s">
        <v>11</v>
      </c>
      <c r="B263" s="10" t="s">
        <v>290</v>
      </c>
      <c r="C263" s="10">
        <v>6</v>
      </c>
      <c r="D263" s="10">
        <v>2</v>
      </c>
      <c r="E263" s="10">
        <v>0.3</v>
      </c>
      <c r="F263" s="10" t="s">
        <v>15</v>
      </c>
      <c r="G263" s="10">
        <v>29.450267583999398</v>
      </c>
    </row>
    <row r="264" spans="1:7" x14ac:dyDescent="0.2">
      <c r="A264" s="10" t="s">
        <v>11</v>
      </c>
      <c r="B264" s="10" t="s">
        <v>290</v>
      </c>
      <c r="C264" s="10">
        <v>8</v>
      </c>
      <c r="D264" s="10">
        <v>3</v>
      </c>
      <c r="E264" s="10">
        <v>0.3</v>
      </c>
      <c r="F264" s="10" t="s">
        <v>15</v>
      </c>
      <c r="G264" s="10">
        <v>37.720849416000398</v>
      </c>
    </row>
    <row r="265" spans="1:7" x14ac:dyDescent="0.2">
      <c r="A265" s="10" t="s">
        <v>11</v>
      </c>
      <c r="B265" s="10" t="s">
        <v>290</v>
      </c>
      <c r="C265" s="10">
        <v>10</v>
      </c>
      <c r="D265" s="10">
        <v>3</v>
      </c>
      <c r="E265" s="10">
        <v>0.3</v>
      </c>
      <c r="F265" s="10" t="s">
        <v>15</v>
      </c>
      <c r="G265" s="10">
        <v>68.543372041996903</v>
      </c>
    </row>
    <row r="266" spans="1:7" x14ac:dyDescent="0.2">
      <c r="A266" s="10" t="s">
        <v>11</v>
      </c>
      <c r="B266" s="10" t="s">
        <v>290</v>
      </c>
      <c r="C266" s="10">
        <v>12</v>
      </c>
      <c r="D266" s="10">
        <v>4</v>
      </c>
      <c r="E266" s="10">
        <v>0.3</v>
      </c>
      <c r="F266" s="10" t="s">
        <v>15</v>
      </c>
      <c r="G266" s="10">
        <v>213.37521974999899</v>
      </c>
    </row>
    <row r="267" spans="1:7" x14ac:dyDescent="0.2">
      <c r="A267" s="10" t="s">
        <v>11</v>
      </c>
      <c r="B267" s="10" t="s">
        <v>290</v>
      </c>
      <c r="C267" s="10">
        <v>14</v>
      </c>
      <c r="D267" s="10">
        <v>4</v>
      </c>
      <c r="E267" s="10">
        <v>0.3</v>
      </c>
      <c r="F267" s="10" t="s">
        <v>15</v>
      </c>
      <c r="G267" s="10">
        <v>517.13741424999898</v>
      </c>
    </row>
    <row r="268" spans="1:7" x14ac:dyDescent="0.2">
      <c r="A268" s="10" t="s">
        <v>11</v>
      </c>
      <c r="B268" s="10" t="s">
        <v>290</v>
      </c>
      <c r="C268" s="10">
        <v>16</v>
      </c>
      <c r="D268" s="10">
        <v>5</v>
      </c>
      <c r="E268" s="10">
        <v>0.3</v>
      </c>
      <c r="F268" s="10" t="s">
        <v>15</v>
      </c>
      <c r="G268" s="10">
        <v>3580.5657200000001</v>
      </c>
    </row>
    <row r="269" spans="1:7" x14ac:dyDescent="0.2">
      <c r="A269" s="10" t="s">
        <v>11</v>
      </c>
      <c r="B269" s="10" t="s">
        <v>290</v>
      </c>
      <c r="C269" s="10">
        <v>18</v>
      </c>
      <c r="D269" s="10">
        <v>5</v>
      </c>
      <c r="E269" s="10">
        <v>0.3</v>
      </c>
      <c r="F269" s="10" t="s">
        <v>15</v>
      </c>
      <c r="G269" s="10" t="s">
        <v>32</v>
      </c>
    </row>
    <row r="270" spans="1:7" x14ac:dyDescent="0.2">
      <c r="A270" s="10" t="s">
        <v>11</v>
      </c>
      <c r="B270" s="10" t="s">
        <v>290</v>
      </c>
      <c r="C270" s="10">
        <v>20</v>
      </c>
      <c r="D270" s="10">
        <v>6</v>
      </c>
      <c r="E270" s="10">
        <v>0.3</v>
      </c>
      <c r="F270" s="10" t="s">
        <v>15</v>
      </c>
      <c r="G270" s="10" t="s">
        <v>32</v>
      </c>
    </row>
    <row r="271" spans="1:7" x14ac:dyDescent="0.2">
      <c r="A271" s="10" t="s">
        <v>11</v>
      </c>
      <c r="B271" s="10" t="s">
        <v>290</v>
      </c>
      <c r="C271" s="10">
        <v>22</v>
      </c>
      <c r="D271" s="10">
        <v>7</v>
      </c>
      <c r="E271" s="10">
        <v>0.3</v>
      </c>
      <c r="F271" s="10" t="s">
        <v>15</v>
      </c>
      <c r="G271" s="10" t="s">
        <v>32</v>
      </c>
    </row>
    <row r="272" spans="1:7" x14ac:dyDescent="0.2">
      <c r="A272" s="10"/>
      <c r="B272" s="10"/>
      <c r="C272" s="10"/>
      <c r="D272" s="10"/>
      <c r="E272" s="10"/>
      <c r="F272" s="10"/>
      <c r="G272" s="10"/>
    </row>
    <row r="273" spans="1:7" x14ac:dyDescent="0.2">
      <c r="A273" s="10" t="s">
        <v>12</v>
      </c>
      <c r="B273" s="10" t="s">
        <v>290</v>
      </c>
      <c r="C273" s="10">
        <v>4</v>
      </c>
      <c r="D273" s="10">
        <v>2</v>
      </c>
      <c r="E273" s="10">
        <v>1</v>
      </c>
      <c r="F273" s="10">
        <v>106551.73211</v>
      </c>
      <c r="G273" s="10">
        <v>24.840736417001601</v>
      </c>
    </row>
    <row r="274" spans="1:7" x14ac:dyDescent="0.2">
      <c r="A274" s="10" t="s">
        <v>12</v>
      </c>
      <c r="B274" s="10" t="s">
        <v>290</v>
      </c>
      <c r="C274" s="10">
        <v>6</v>
      </c>
      <c r="D274" s="10">
        <v>2</v>
      </c>
      <c r="E274" s="10">
        <v>1</v>
      </c>
      <c r="F274" s="10">
        <v>114277.15216500001</v>
      </c>
      <c r="G274" s="10">
        <v>36.534873208998697</v>
      </c>
    </row>
    <row r="275" spans="1:7" x14ac:dyDescent="0.2">
      <c r="A275" s="10" t="s">
        <v>12</v>
      </c>
      <c r="B275" s="10" t="s">
        <v>290</v>
      </c>
      <c r="C275" s="10">
        <v>8</v>
      </c>
      <c r="D275" s="10">
        <v>3</v>
      </c>
      <c r="E275" s="10">
        <v>1</v>
      </c>
      <c r="F275" s="10">
        <v>179388.864275</v>
      </c>
      <c r="G275" s="10">
        <v>47.254106000000299</v>
      </c>
    </row>
    <row r="276" spans="1:7" x14ac:dyDescent="0.2">
      <c r="A276" s="10" t="s">
        <v>12</v>
      </c>
      <c r="B276" s="10" t="s">
        <v>290</v>
      </c>
      <c r="C276" s="10">
        <v>10</v>
      </c>
      <c r="D276" s="10">
        <v>3</v>
      </c>
      <c r="E276" s="10">
        <v>1</v>
      </c>
      <c r="F276" s="10">
        <v>189143.856165</v>
      </c>
      <c r="G276" s="10">
        <v>56.0508933749988</v>
      </c>
    </row>
    <row r="277" spans="1:7" x14ac:dyDescent="0.2">
      <c r="A277" s="10" t="s">
        <v>12</v>
      </c>
      <c r="B277" s="10" t="s">
        <v>290</v>
      </c>
      <c r="C277" s="10">
        <v>12</v>
      </c>
      <c r="D277" s="10">
        <v>4</v>
      </c>
      <c r="E277" s="10">
        <v>1</v>
      </c>
      <c r="F277" s="10">
        <v>238699.212275</v>
      </c>
      <c r="G277" s="10">
        <v>111.76255341700001</v>
      </c>
    </row>
    <row r="278" spans="1:7" x14ac:dyDescent="0.2">
      <c r="A278" s="10" t="s">
        <v>12</v>
      </c>
      <c r="B278" s="10" t="s">
        <v>290</v>
      </c>
      <c r="C278" s="10">
        <v>14</v>
      </c>
      <c r="D278" s="10">
        <v>4</v>
      </c>
      <c r="E278" s="10">
        <v>1</v>
      </c>
      <c r="F278" s="10">
        <v>239940.07221999901</v>
      </c>
      <c r="G278" s="10">
        <v>446.37044908300197</v>
      </c>
    </row>
    <row r="279" spans="1:7" x14ac:dyDescent="0.2">
      <c r="A279" s="10" t="s">
        <v>12</v>
      </c>
      <c r="B279" s="10" t="s">
        <v>290</v>
      </c>
      <c r="C279" s="10">
        <v>16</v>
      </c>
      <c r="D279" s="10">
        <v>5</v>
      </c>
      <c r="E279" s="10">
        <v>1</v>
      </c>
      <c r="F279" s="10" t="s">
        <v>15</v>
      </c>
      <c r="G279" s="10" t="s">
        <v>32</v>
      </c>
    </row>
    <row r="280" spans="1:7" x14ac:dyDescent="0.2">
      <c r="A280" s="10" t="s">
        <v>12</v>
      </c>
      <c r="B280" s="10" t="s">
        <v>290</v>
      </c>
      <c r="C280" s="10">
        <v>18</v>
      </c>
      <c r="D280" s="10">
        <v>5</v>
      </c>
      <c r="E280" s="10">
        <v>1</v>
      </c>
      <c r="F280" s="10" t="s">
        <v>15</v>
      </c>
      <c r="G280" s="10" t="s">
        <v>32</v>
      </c>
    </row>
    <row r="281" spans="1:7" x14ac:dyDescent="0.2">
      <c r="A281" s="10" t="s">
        <v>12</v>
      </c>
      <c r="B281" s="10" t="s">
        <v>290</v>
      </c>
      <c r="C281" s="10">
        <v>20</v>
      </c>
      <c r="D281" s="10">
        <v>6</v>
      </c>
      <c r="E281" s="10">
        <v>1</v>
      </c>
      <c r="F281" s="10" t="s">
        <v>15</v>
      </c>
      <c r="G281" s="10" t="s">
        <v>32</v>
      </c>
    </row>
    <row r="282" spans="1:7" x14ac:dyDescent="0.2">
      <c r="A282" s="10" t="s">
        <v>12</v>
      </c>
      <c r="B282" s="10" t="s">
        <v>290</v>
      </c>
      <c r="C282" s="10">
        <v>22</v>
      </c>
      <c r="D282" s="10">
        <v>7</v>
      </c>
      <c r="E282" s="10">
        <v>1</v>
      </c>
      <c r="F282" s="10" t="s">
        <v>15</v>
      </c>
      <c r="G282" s="10" t="s">
        <v>32</v>
      </c>
    </row>
    <row r="283" spans="1:7" x14ac:dyDescent="0.2">
      <c r="A283" s="10"/>
      <c r="B283" s="10"/>
      <c r="C283" s="10"/>
      <c r="D283" s="10"/>
      <c r="E283" s="10"/>
      <c r="F283" s="10"/>
      <c r="G283" s="10"/>
    </row>
    <row r="284" spans="1:7" x14ac:dyDescent="0.2">
      <c r="A284" s="10" t="s">
        <v>12</v>
      </c>
      <c r="B284" s="10" t="s">
        <v>290</v>
      </c>
      <c r="C284" s="10">
        <v>4</v>
      </c>
      <c r="D284" s="10">
        <v>2</v>
      </c>
      <c r="E284" s="10">
        <v>0.5</v>
      </c>
      <c r="F284" s="10" t="s">
        <v>15</v>
      </c>
      <c r="G284" s="10">
        <v>21.876517750002598</v>
      </c>
    </row>
    <row r="285" spans="1:7" x14ac:dyDescent="0.2">
      <c r="A285" s="10" t="s">
        <v>12</v>
      </c>
      <c r="B285" s="10" t="s">
        <v>290</v>
      </c>
      <c r="C285" s="10">
        <v>6</v>
      </c>
      <c r="D285" s="10">
        <v>2</v>
      </c>
      <c r="E285" s="10">
        <v>0.5</v>
      </c>
      <c r="F285" s="10">
        <v>145193.07049999901</v>
      </c>
      <c r="G285" s="10">
        <v>53.042493041997602</v>
      </c>
    </row>
    <row r="286" spans="1:7" x14ac:dyDescent="0.2">
      <c r="A286" s="10" t="s">
        <v>12</v>
      </c>
      <c r="B286" s="10" t="s">
        <v>290</v>
      </c>
      <c r="C286" s="10">
        <v>8</v>
      </c>
      <c r="D286" s="10">
        <v>3</v>
      </c>
      <c r="E286" s="10">
        <v>0.5</v>
      </c>
      <c r="F286" s="10">
        <v>232420.54374999899</v>
      </c>
      <c r="G286" s="10">
        <v>74.978441584000393</v>
      </c>
    </row>
    <row r="287" spans="1:7" x14ac:dyDescent="0.2">
      <c r="A287" s="10" t="s">
        <v>12</v>
      </c>
      <c r="B287" s="10" t="s">
        <v>290</v>
      </c>
      <c r="C287" s="10">
        <v>10</v>
      </c>
      <c r="D287" s="10">
        <v>3</v>
      </c>
      <c r="E287" s="10">
        <v>0.5</v>
      </c>
      <c r="F287" s="10">
        <v>252591.59650000001</v>
      </c>
      <c r="G287" s="10">
        <v>83.257681041999604</v>
      </c>
    </row>
    <row r="288" spans="1:7" x14ac:dyDescent="0.2">
      <c r="A288" s="10" t="s">
        <v>12</v>
      </c>
      <c r="B288" s="10" t="s">
        <v>290</v>
      </c>
      <c r="C288" s="10">
        <v>12</v>
      </c>
      <c r="D288" s="10">
        <v>4</v>
      </c>
      <c r="E288" s="10">
        <v>0.5</v>
      </c>
      <c r="F288" s="10">
        <v>316893.29225</v>
      </c>
      <c r="G288" s="10">
        <v>213.79828558400101</v>
      </c>
    </row>
    <row r="289" spans="1:7" x14ac:dyDescent="0.2">
      <c r="A289" s="10" t="s">
        <v>12</v>
      </c>
      <c r="B289" s="10" t="s">
        <v>290</v>
      </c>
      <c r="C289" s="10">
        <v>14</v>
      </c>
      <c r="D289" s="10">
        <v>4</v>
      </c>
      <c r="E289" s="10">
        <v>0.5</v>
      </c>
      <c r="F289" s="10">
        <v>316577.68649999902</v>
      </c>
      <c r="G289" s="10">
        <v>1375.9251314999999</v>
      </c>
    </row>
    <row r="290" spans="1:7" x14ac:dyDescent="0.2">
      <c r="A290" s="10" t="s">
        <v>12</v>
      </c>
      <c r="B290" s="10" t="s">
        <v>290</v>
      </c>
      <c r="C290" s="10">
        <v>16</v>
      </c>
      <c r="D290" s="10">
        <v>5</v>
      </c>
      <c r="E290" s="10">
        <v>0.5</v>
      </c>
      <c r="F290" s="10">
        <v>394500.01899999997</v>
      </c>
      <c r="G290" s="10">
        <v>2647.5562086249902</v>
      </c>
    </row>
    <row r="291" spans="1:7" x14ac:dyDescent="0.2">
      <c r="A291" s="10" t="s">
        <v>12</v>
      </c>
      <c r="B291" s="10" t="s">
        <v>290</v>
      </c>
      <c r="C291" s="10">
        <v>18</v>
      </c>
      <c r="D291" s="10">
        <v>5</v>
      </c>
      <c r="E291" s="10">
        <v>0.5</v>
      </c>
      <c r="F291" s="10" t="s">
        <v>15</v>
      </c>
      <c r="G291" s="10" t="s">
        <v>32</v>
      </c>
    </row>
    <row r="292" spans="1:7" x14ac:dyDescent="0.2">
      <c r="A292" s="10" t="s">
        <v>12</v>
      </c>
      <c r="B292" s="10" t="s">
        <v>290</v>
      </c>
      <c r="C292" s="10">
        <v>20</v>
      </c>
      <c r="D292" s="10">
        <v>6</v>
      </c>
      <c r="E292" s="10">
        <v>0.5</v>
      </c>
      <c r="F292" s="10" t="s">
        <v>15</v>
      </c>
      <c r="G292" s="10" t="s">
        <v>32</v>
      </c>
    </row>
    <row r="293" spans="1:7" x14ac:dyDescent="0.2">
      <c r="A293" s="10" t="s">
        <v>12</v>
      </c>
      <c r="B293" s="10" t="s">
        <v>290</v>
      </c>
      <c r="C293" s="10">
        <v>22</v>
      </c>
      <c r="D293" s="10">
        <v>7</v>
      </c>
      <c r="E293" s="10">
        <v>0.5</v>
      </c>
      <c r="F293" s="10" t="s">
        <v>15</v>
      </c>
      <c r="G293" s="10" t="s">
        <v>32</v>
      </c>
    </row>
    <row r="294" spans="1:7" x14ac:dyDescent="0.2">
      <c r="A294" s="10"/>
      <c r="B294" s="10"/>
      <c r="C294" s="10"/>
      <c r="D294" s="10"/>
      <c r="E294" s="10"/>
      <c r="F294" s="10"/>
      <c r="G294" s="10"/>
    </row>
    <row r="295" spans="1:7" x14ac:dyDescent="0.2">
      <c r="A295" s="10" t="s">
        <v>12</v>
      </c>
      <c r="B295" s="10" t="s">
        <v>290</v>
      </c>
      <c r="C295" s="10">
        <v>4</v>
      </c>
      <c r="D295" s="10">
        <v>2</v>
      </c>
      <c r="E295" s="10">
        <v>0.3</v>
      </c>
      <c r="F295" s="10" t="s">
        <v>15</v>
      </c>
      <c r="G295" s="10">
        <v>21.888353708</v>
      </c>
    </row>
    <row r="296" spans="1:7" x14ac:dyDescent="0.2">
      <c r="A296" s="10" t="s">
        <v>12</v>
      </c>
      <c r="B296" s="10" t="s">
        <v>290</v>
      </c>
      <c r="C296" s="10">
        <v>6</v>
      </c>
      <c r="D296" s="10">
        <v>2</v>
      </c>
      <c r="E296" s="10">
        <v>0.3</v>
      </c>
      <c r="F296" s="10">
        <v>184851.576</v>
      </c>
      <c r="G296" s="10">
        <v>129.63186029100299</v>
      </c>
    </row>
    <row r="297" spans="1:7" x14ac:dyDescent="0.2">
      <c r="A297" s="10" t="s">
        <v>12</v>
      </c>
      <c r="B297" s="10" t="s">
        <v>290</v>
      </c>
      <c r="C297" s="10">
        <v>8</v>
      </c>
      <c r="D297" s="10">
        <v>3</v>
      </c>
      <c r="E297" s="10">
        <v>0.3</v>
      </c>
      <c r="F297" s="10">
        <v>305242.882099977</v>
      </c>
      <c r="G297" s="10">
        <v>128.73917737499801</v>
      </c>
    </row>
    <row r="298" spans="1:7" x14ac:dyDescent="0.2">
      <c r="A298" s="10" t="s">
        <v>12</v>
      </c>
      <c r="B298" s="10" t="s">
        <v>290</v>
      </c>
      <c r="C298" s="10">
        <v>10</v>
      </c>
      <c r="D298" s="10">
        <v>3</v>
      </c>
      <c r="E298" s="10">
        <v>0.3</v>
      </c>
      <c r="F298" s="10" t="s">
        <v>15</v>
      </c>
      <c r="G298" s="10">
        <v>208.489796541998</v>
      </c>
    </row>
    <row r="299" spans="1:7" x14ac:dyDescent="0.2">
      <c r="A299" s="10" t="s">
        <v>12</v>
      </c>
      <c r="B299" s="10" t="s">
        <v>290</v>
      </c>
      <c r="C299" s="10">
        <v>12</v>
      </c>
      <c r="D299" s="10">
        <v>4</v>
      </c>
      <c r="E299" s="10">
        <v>0.3</v>
      </c>
      <c r="F299" s="10" t="s">
        <v>15</v>
      </c>
      <c r="G299" s="10">
        <v>327.75534212500099</v>
      </c>
    </row>
    <row r="300" spans="1:7" x14ac:dyDescent="0.2">
      <c r="A300" s="10" t="s">
        <v>12</v>
      </c>
      <c r="B300" s="10" t="s">
        <v>290</v>
      </c>
      <c r="C300" s="10">
        <v>14</v>
      </c>
      <c r="D300" s="10">
        <v>4</v>
      </c>
      <c r="E300" s="10">
        <v>0.3</v>
      </c>
      <c r="F300" s="10" t="s">
        <v>15</v>
      </c>
      <c r="G300" s="10">
        <v>1432.7033128329999</v>
      </c>
    </row>
    <row r="301" spans="1:7" x14ac:dyDescent="0.2">
      <c r="A301" s="10" t="s">
        <v>12</v>
      </c>
      <c r="B301" s="10" t="s">
        <v>290</v>
      </c>
      <c r="C301" s="10">
        <v>16</v>
      </c>
      <c r="D301" s="10">
        <v>5</v>
      </c>
      <c r="E301" s="10">
        <v>0.3</v>
      </c>
      <c r="F301" s="10" t="s">
        <v>15</v>
      </c>
      <c r="G301" s="10">
        <v>2051.7197040409901</v>
      </c>
    </row>
    <row r="302" spans="1:7" x14ac:dyDescent="0.2">
      <c r="A302" s="10" t="s">
        <v>12</v>
      </c>
      <c r="B302" s="10" t="s">
        <v>290</v>
      </c>
      <c r="C302" s="10">
        <v>18</v>
      </c>
      <c r="D302" s="10">
        <v>5</v>
      </c>
      <c r="E302" s="10">
        <v>0.3</v>
      </c>
      <c r="F302" s="10" t="s">
        <v>15</v>
      </c>
      <c r="G302" s="10" t="s">
        <v>32</v>
      </c>
    </row>
    <row r="303" spans="1:7" x14ac:dyDescent="0.2">
      <c r="A303" s="10" t="s">
        <v>12</v>
      </c>
      <c r="B303" s="10" t="s">
        <v>290</v>
      </c>
      <c r="C303" s="10">
        <v>20</v>
      </c>
      <c r="D303" s="10">
        <v>6</v>
      </c>
      <c r="E303" s="10">
        <v>0.3</v>
      </c>
      <c r="F303" s="10" t="s">
        <v>15</v>
      </c>
      <c r="G303" s="10" t="s">
        <v>32</v>
      </c>
    </row>
    <row r="304" spans="1:7" x14ac:dyDescent="0.2">
      <c r="A304" s="10" t="s">
        <v>12</v>
      </c>
      <c r="B304" s="10" t="s">
        <v>290</v>
      </c>
      <c r="C304" s="10">
        <v>22</v>
      </c>
      <c r="D304" s="10">
        <v>7</v>
      </c>
      <c r="E304" s="10">
        <v>0.3</v>
      </c>
      <c r="F304" s="10" t="s">
        <v>15</v>
      </c>
      <c r="G304" s="10" t="s">
        <v>32</v>
      </c>
    </row>
    <row r="305" spans="1:7" x14ac:dyDescent="0.2">
      <c r="A305" s="10"/>
      <c r="B305" s="10"/>
      <c r="C305" s="10"/>
      <c r="D305" s="10"/>
      <c r="E305" s="10"/>
      <c r="F305" s="10"/>
      <c r="G305" s="10"/>
    </row>
    <row r="306" spans="1:7" x14ac:dyDescent="0.2">
      <c r="A306" s="10" t="s">
        <v>13</v>
      </c>
      <c r="B306" s="10" t="s">
        <v>290</v>
      </c>
      <c r="C306" s="10">
        <v>4</v>
      </c>
      <c r="D306" s="10">
        <v>2</v>
      </c>
      <c r="E306" s="10">
        <v>1</v>
      </c>
      <c r="F306" s="10">
        <v>101388.564055</v>
      </c>
      <c r="G306" s="10">
        <v>24.010349291995201</v>
      </c>
    </row>
    <row r="307" spans="1:7" x14ac:dyDescent="0.2">
      <c r="A307" s="10" t="s">
        <v>13</v>
      </c>
      <c r="B307" s="10" t="s">
        <v>290</v>
      </c>
      <c r="C307" s="10">
        <v>6</v>
      </c>
      <c r="D307" s="10">
        <v>3</v>
      </c>
      <c r="E307" s="10">
        <v>1</v>
      </c>
      <c r="F307" s="10">
        <v>166514.92816499999</v>
      </c>
      <c r="G307" s="10">
        <v>32.549132124993697</v>
      </c>
    </row>
    <row r="308" spans="1:7" x14ac:dyDescent="0.2">
      <c r="A308" s="10" t="s">
        <v>13</v>
      </c>
      <c r="B308" s="10" t="s">
        <v>290</v>
      </c>
      <c r="C308" s="10">
        <v>8</v>
      </c>
      <c r="D308" s="10">
        <v>3</v>
      </c>
      <c r="E308" s="10">
        <v>1</v>
      </c>
      <c r="F308" s="10">
        <v>178637.35216499999</v>
      </c>
      <c r="G308" s="10">
        <v>44.9273179999945</v>
      </c>
    </row>
    <row r="309" spans="1:7" x14ac:dyDescent="0.2">
      <c r="A309" s="10" t="s">
        <v>13</v>
      </c>
      <c r="B309" s="10" t="s">
        <v>290</v>
      </c>
      <c r="C309" s="10">
        <v>10</v>
      </c>
      <c r="D309" s="10">
        <v>4</v>
      </c>
      <c r="E309" s="10">
        <v>1</v>
      </c>
      <c r="F309" s="10">
        <v>231208.476165</v>
      </c>
      <c r="G309" s="10">
        <v>53.754840665998898</v>
      </c>
    </row>
    <row r="310" spans="1:7" x14ac:dyDescent="0.2">
      <c r="A310" s="10" t="s">
        <v>13</v>
      </c>
      <c r="B310" s="10" t="s">
        <v>290</v>
      </c>
      <c r="C310" s="10">
        <v>12</v>
      </c>
      <c r="D310" s="10">
        <v>4</v>
      </c>
      <c r="E310" s="10">
        <v>1</v>
      </c>
      <c r="F310" s="10">
        <v>239652.76827500001</v>
      </c>
      <c r="G310" s="10">
        <v>67.303422707998806</v>
      </c>
    </row>
    <row r="311" spans="1:7" x14ac:dyDescent="0.2">
      <c r="A311" s="10" t="s">
        <v>13</v>
      </c>
      <c r="B311" s="10" t="s">
        <v>290</v>
      </c>
      <c r="C311" s="10">
        <v>14</v>
      </c>
      <c r="D311" s="10">
        <v>5</v>
      </c>
      <c r="E311" s="10">
        <v>1</v>
      </c>
      <c r="F311" s="10">
        <v>296725.82438499999</v>
      </c>
      <c r="G311" s="10">
        <v>103.23519775</v>
      </c>
    </row>
    <row r="312" spans="1:7" x14ac:dyDescent="0.2">
      <c r="A312" s="10" t="s">
        <v>13</v>
      </c>
      <c r="B312" s="10" t="s">
        <v>290</v>
      </c>
      <c r="C312" s="10">
        <v>16</v>
      </c>
      <c r="D312" s="10">
        <v>5</v>
      </c>
      <c r="E312" s="10">
        <v>1</v>
      </c>
      <c r="F312" s="10">
        <v>302516.95244000002</v>
      </c>
      <c r="G312" s="10">
        <v>432.79553699999798</v>
      </c>
    </row>
    <row r="313" spans="1:7" x14ac:dyDescent="0.2">
      <c r="A313" s="10" t="s">
        <v>13</v>
      </c>
      <c r="B313" s="10" t="s">
        <v>290</v>
      </c>
      <c r="C313" s="10">
        <v>18</v>
      </c>
      <c r="D313" s="10">
        <v>6</v>
      </c>
      <c r="E313" s="10">
        <v>1</v>
      </c>
      <c r="F313" s="10">
        <v>328457.35243999999</v>
      </c>
      <c r="G313" s="10">
        <v>5713.19691241699</v>
      </c>
    </row>
    <row r="314" spans="1:7" x14ac:dyDescent="0.2">
      <c r="A314" s="10" t="s">
        <v>13</v>
      </c>
      <c r="B314" s="10" t="s">
        <v>290</v>
      </c>
      <c r="C314" s="10">
        <v>20</v>
      </c>
      <c r="D314" s="10">
        <v>6</v>
      </c>
      <c r="E314" s="10">
        <v>1</v>
      </c>
      <c r="F314" s="10" t="s">
        <v>15</v>
      </c>
      <c r="G314" s="10" t="s">
        <v>32</v>
      </c>
    </row>
    <row r="315" spans="1:7" x14ac:dyDescent="0.2">
      <c r="A315" s="10" t="s">
        <v>13</v>
      </c>
      <c r="B315" s="10" t="s">
        <v>290</v>
      </c>
      <c r="C315" s="10">
        <v>22</v>
      </c>
      <c r="D315" s="10">
        <v>7</v>
      </c>
      <c r="E315" s="10">
        <v>1</v>
      </c>
      <c r="F315" s="10" t="s">
        <v>15</v>
      </c>
      <c r="G315" s="10" t="s">
        <v>32</v>
      </c>
    </row>
    <row r="316" spans="1:7" x14ac:dyDescent="0.2">
      <c r="A316" s="10"/>
      <c r="B316" s="10"/>
      <c r="C316" s="10"/>
      <c r="D316" s="10"/>
      <c r="E316" s="10"/>
      <c r="F316" s="10"/>
      <c r="G316" s="10"/>
    </row>
    <row r="317" spans="1:7" x14ac:dyDescent="0.2">
      <c r="A317" s="10" t="s">
        <v>13</v>
      </c>
      <c r="B317" s="10" t="s">
        <v>290</v>
      </c>
      <c r="C317" s="10">
        <v>4</v>
      </c>
      <c r="D317" s="10">
        <v>2</v>
      </c>
      <c r="E317" s="10">
        <v>0.5</v>
      </c>
      <c r="F317" s="10" t="s">
        <v>15</v>
      </c>
      <c r="G317" s="10">
        <v>21.092587625003901</v>
      </c>
    </row>
    <row r="318" spans="1:7" x14ac:dyDescent="0.2">
      <c r="A318" s="10" t="s">
        <v>13</v>
      </c>
      <c r="B318" s="10" t="s">
        <v>290</v>
      </c>
      <c r="C318" s="10">
        <v>6</v>
      </c>
      <c r="D318" s="10">
        <v>3</v>
      </c>
      <c r="E318" s="10">
        <v>0.5</v>
      </c>
      <c r="F318" s="10" t="s">
        <v>15</v>
      </c>
      <c r="G318" s="10">
        <v>28.714466291996299</v>
      </c>
    </row>
    <row r="319" spans="1:7" x14ac:dyDescent="0.2">
      <c r="A319" s="10" t="s">
        <v>13</v>
      </c>
      <c r="B319" s="10" t="s">
        <v>290</v>
      </c>
      <c r="C319" s="10">
        <v>8</v>
      </c>
      <c r="D319" s="10">
        <v>3</v>
      </c>
      <c r="E319" s="10">
        <v>0.5</v>
      </c>
      <c r="F319" s="10">
        <v>239461.26449999999</v>
      </c>
      <c r="G319" s="10">
        <v>69.497870541999802</v>
      </c>
    </row>
    <row r="320" spans="1:7" x14ac:dyDescent="0.2">
      <c r="A320" s="10" t="s">
        <v>13</v>
      </c>
      <c r="B320" s="10" t="s">
        <v>290</v>
      </c>
      <c r="C320" s="10">
        <v>10</v>
      </c>
      <c r="D320" s="10">
        <v>4</v>
      </c>
      <c r="E320" s="10">
        <v>0.5</v>
      </c>
      <c r="F320" s="10">
        <v>316076.43724999903</v>
      </c>
      <c r="G320" s="10">
        <v>106.02574091699999</v>
      </c>
    </row>
    <row r="321" spans="1:7" x14ac:dyDescent="0.2">
      <c r="A321" s="10" t="s">
        <v>13</v>
      </c>
      <c r="B321" s="10" t="s">
        <v>290</v>
      </c>
      <c r="C321" s="10">
        <v>12</v>
      </c>
      <c r="D321" s="10">
        <v>4</v>
      </c>
      <c r="E321" s="10">
        <v>0.5</v>
      </c>
      <c r="F321" s="10">
        <v>331197.29649999901</v>
      </c>
      <c r="G321" s="10">
        <v>115.253447334005</v>
      </c>
    </row>
    <row r="322" spans="1:7" x14ac:dyDescent="0.2">
      <c r="A322" s="10" t="s">
        <v>13</v>
      </c>
      <c r="B322" s="10" t="s">
        <v>290</v>
      </c>
      <c r="C322" s="10">
        <v>14</v>
      </c>
      <c r="D322" s="10">
        <v>5</v>
      </c>
      <c r="E322" s="10">
        <v>0.5</v>
      </c>
      <c r="F322" s="10">
        <v>393651.00899999897</v>
      </c>
      <c r="G322" s="10">
        <v>223.80069924999401</v>
      </c>
    </row>
    <row r="323" spans="1:7" x14ac:dyDescent="0.2">
      <c r="A323" s="10" t="s">
        <v>13</v>
      </c>
      <c r="B323" s="10" t="s">
        <v>290</v>
      </c>
      <c r="C323" s="10">
        <v>16</v>
      </c>
      <c r="D323" s="10">
        <v>5</v>
      </c>
      <c r="E323" s="10">
        <v>0.5</v>
      </c>
      <c r="F323" s="10">
        <v>401361.85174999997</v>
      </c>
      <c r="G323" s="10">
        <v>1372.17312904199</v>
      </c>
    </row>
    <row r="324" spans="1:7" x14ac:dyDescent="0.2">
      <c r="A324" s="10" t="s">
        <v>13</v>
      </c>
      <c r="B324" s="10" t="s">
        <v>290</v>
      </c>
      <c r="C324" s="10">
        <v>18</v>
      </c>
      <c r="D324" s="10">
        <v>6</v>
      </c>
      <c r="E324" s="10">
        <v>0.5</v>
      </c>
      <c r="F324" s="10">
        <v>429850.09024999902</v>
      </c>
      <c r="G324" s="10">
        <v>9124.2306779169994</v>
      </c>
    </row>
    <row r="325" spans="1:7" x14ac:dyDescent="0.2">
      <c r="A325" s="10" t="s">
        <v>13</v>
      </c>
      <c r="B325" s="10" t="s">
        <v>290</v>
      </c>
      <c r="C325" s="10">
        <v>20</v>
      </c>
      <c r="D325" s="10">
        <v>6</v>
      </c>
      <c r="E325" s="10">
        <v>0.5</v>
      </c>
      <c r="F325" s="10" t="s">
        <v>15</v>
      </c>
      <c r="G325" s="10" t="s">
        <v>32</v>
      </c>
    </row>
    <row r="326" spans="1:7" x14ac:dyDescent="0.2">
      <c r="A326" s="10" t="s">
        <v>13</v>
      </c>
      <c r="B326" s="10" t="s">
        <v>290</v>
      </c>
      <c r="C326" s="10">
        <v>22</v>
      </c>
      <c r="D326" s="10">
        <v>7</v>
      </c>
      <c r="E326" s="10">
        <v>0.5</v>
      </c>
      <c r="F326" s="10" t="s">
        <v>15</v>
      </c>
      <c r="G326" s="10" t="s">
        <v>32</v>
      </c>
    </row>
    <row r="327" spans="1:7" x14ac:dyDescent="0.2">
      <c r="A327" s="10"/>
      <c r="B327" s="10"/>
      <c r="C327" s="10"/>
      <c r="D327" s="10"/>
      <c r="E327" s="10"/>
      <c r="F327" s="10"/>
      <c r="G327" s="10"/>
    </row>
    <row r="328" spans="1:7" x14ac:dyDescent="0.2">
      <c r="A328" s="10" t="s">
        <v>13</v>
      </c>
      <c r="B328" s="10" t="s">
        <v>290</v>
      </c>
      <c r="C328" s="10">
        <v>4</v>
      </c>
      <c r="D328" s="10">
        <v>2</v>
      </c>
      <c r="E328" s="10">
        <v>0.3</v>
      </c>
      <c r="F328" s="10" t="s">
        <v>15</v>
      </c>
      <c r="G328" s="10">
        <v>21.327504166998501</v>
      </c>
    </row>
    <row r="329" spans="1:7" x14ac:dyDescent="0.2">
      <c r="A329" s="10" t="s">
        <v>13</v>
      </c>
      <c r="B329" s="10" t="s">
        <v>290</v>
      </c>
      <c r="C329" s="10">
        <v>6</v>
      </c>
      <c r="D329" s="10">
        <v>3</v>
      </c>
      <c r="E329" s="10">
        <v>0.3</v>
      </c>
      <c r="F329" s="10" t="s">
        <v>15</v>
      </c>
      <c r="G329" s="10">
        <v>28.782894000003498</v>
      </c>
    </row>
    <row r="330" spans="1:7" x14ac:dyDescent="0.2">
      <c r="A330" s="10" t="s">
        <v>13</v>
      </c>
      <c r="B330" s="10" t="s">
        <v>290</v>
      </c>
      <c r="C330" s="10">
        <v>8</v>
      </c>
      <c r="D330" s="10">
        <v>3</v>
      </c>
      <c r="E330" s="10">
        <v>0.3</v>
      </c>
      <c r="F330" s="10" t="s">
        <v>15</v>
      </c>
      <c r="G330" s="10">
        <v>73.550819124997304</v>
      </c>
    </row>
    <row r="331" spans="1:7" x14ac:dyDescent="0.2">
      <c r="A331" s="10" t="s">
        <v>13</v>
      </c>
      <c r="B331" s="10" t="s">
        <v>290</v>
      </c>
      <c r="C331" s="10">
        <v>10</v>
      </c>
      <c r="D331" s="10">
        <v>4</v>
      </c>
      <c r="E331" s="10">
        <v>0.3</v>
      </c>
      <c r="F331" s="10" t="s">
        <v>15</v>
      </c>
      <c r="G331" s="10">
        <v>203.66031562499799</v>
      </c>
    </row>
    <row r="332" spans="1:7" x14ac:dyDescent="0.2">
      <c r="A332" s="10" t="s">
        <v>13</v>
      </c>
      <c r="B332" s="10" t="s">
        <v>290</v>
      </c>
      <c r="C332" s="10">
        <v>12</v>
      </c>
      <c r="D332" s="10">
        <v>4</v>
      </c>
      <c r="E332" s="10">
        <v>0.3</v>
      </c>
      <c r="F332" s="10">
        <v>401553.7904</v>
      </c>
      <c r="G332" s="10">
        <v>226.578564875002</v>
      </c>
    </row>
    <row r="333" spans="1:7" x14ac:dyDescent="0.2">
      <c r="A333" s="10" t="s">
        <v>13</v>
      </c>
      <c r="B333" s="10" t="s">
        <v>290</v>
      </c>
      <c r="C333" s="10">
        <v>14</v>
      </c>
      <c r="D333" s="10">
        <v>5</v>
      </c>
      <c r="E333" s="10">
        <v>0.3</v>
      </c>
      <c r="F333" s="10" t="s">
        <v>15</v>
      </c>
      <c r="G333" s="10">
        <v>354.62450529200498</v>
      </c>
    </row>
    <row r="334" spans="1:7" x14ac:dyDescent="0.2">
      <c r="A334" s="10" t="s">
        <v>13</v>
      </c>
      <c r="B334" s="10" t="s">
        <v>290</v>
      </c>
      <c r="C334" s="10">
        <v>16</v>
      </c>
      <c r="D334" s="10">
        <v>5</v>
      </c>
      <c r="E334" s="10">
        <v>0.3</v>
      </c>
      <c r="F334" s="10" t="s">
        <v>15</v>
      </c>
      <c r="G334" s="10">
        <v>1347.325460625</v>
      </c>
    </row>
    <row r="335" spans="1:7" x14ac:dyDescent="0.2">
      <c r="A335" s="10" t="s">
        <v>13</v>
      </c>
      <c r="B335" s="10" t="s">
        <v>290</v>
      </c>
      <c r="C335" s="10">
        <v>18</v>
      </c>
      <c r="D335" s="10">
        <v>6</v>
      </c>
      <c r="E335" s="10">
        <v>0.3</v>
      </c>
      <c r="F335" s="10" t="s">
        <v>15</v>
      </c>
      <c r="G335" s="10">
        <v>11775.757305542</v>
      </c>
    </row>
    <row r="336" spans="1:7" x14ac:dyDescent="0.2">
      <c r="A336" s="10" t="s">
        <v>13</v>
      </c>
      <c r="B336" s="10" t="s">
        <v>290</v>
      </c>
      <c r="C336" s="10">
        <v>20</v>
      </c>
      <c r="D336" s="10">
        <v>6</v>
      </c>
      <c r="E336" s="10">
        <v>0.3</v>
      </c>
      <c r="F336" s="10" t="s">
        <v>15</v>
      </c>
      <c r="G336" s="10" t="s">
        <v>32</v>
      </c>
    </row>
    <row r="337" spans="1:7" x14ac:dyDescent="0.2">
      <c r="A337" s="10" t="s">
        <v>13</v>
      </c>
      <c r="B337" s="10" t="s">
        <v>290</v>
      </c>
      <c r="C337" s="10">
        <v>22</v>
      </c>
      <c r="D337" s="10">
        <v>7</v>
      </c>
      <c r="E337" s="10">
        <v>0.3</v>
      </c>
      <c r="F337" s="10" t="s">
        <v>15</v>
      </c>
      <c r="G337" s="10" t="s">
        <v>32</v>
      </c>
    </row>
    <row r="338" spans="1:7" x14ac:dyDescent="0.2">
      <c r="A338" s="10"/>
      <c r="B338" s="10"/>
      <c r="C338" s="10"/>
      <c r="D338" s="10"/>
      <c r="E338" s="10"/>
      <c r="F338" s="10"/>
      <c r="G338" s="10"/>
    </row>
    <row r="339" spans="1:7" x14ac:dyDescent="0.2">
      <c r="A339" s="10"/>
      <c r="B339" s="10"/>
      <c r="C339" s="10"/>
      <c r="D339" s="10"/>
      <c r="E339" s="10"/>
      <c r="F339" s="10"/>
      <c r="G339" s="10"/>
    </row>
    <row r="340" spans="1:7" x14ac:dyDescent="0.2">
      <c r="A340" s="10"/>
      <c r="B340" s="10"/>
      <c r="C340" s="10"/>
      <c r="D340" s="10"/>
      <c r="E340" s="10"/>
      <c r="F340" s="10"/>
      <c r="G340" s="10"/>
    </row>
    <row r="341" spans="1:7" x14ac:dyDescent="0.2">
      <c r="A341" s="12" t="s">
        <v>31</v>
      </c>
      <c r="B341" s="10"/>
      <c r="C341" s="10"/>
      <c r="D341" s="10"/>
      <c r="E341" s="10"/>
      <c r="F341" s="10"/>
      <c r="G341" s="10"/>
    </row>
    <row r="342" spans="1:7" x14ac:dyDescent="0.2">
      <c r="A342" s="10"/>
      <c r="B342" s="10"/>
      <c r="C342" s="10"/>
      <c r="D342" s="10"/>
      <c r="E342" s="10"/>
      <c r="F342" s="10"/>
      <c r="G342" s="10"/>
    </row>
    <row r="343" spans="1:7" x14ac:dyDescent="0.2">
      <c r="A343" s="10" t="s">
        <v>9</v>
      </c>
      <c r="B343" s="10" t="s">
        <v>288</v>
      </c>
      <c r="C343" s="10">
        <v>4</v>
      </c>
      <c r="D343" s="10">
        <v>2</v>
      </c>
      <c r="E343" s="10">
        <v>1</v>
      </c>
      <c r="F343" s="10">
        <v>45047.16</v>
      </c>
      <c r="G343" s="10">
        <v>21.303289167000901</v>
      </c>
    </row>
    <row r="344" spans="1:7" x14ac:dyDescent="0.2">
      <c r="A344" s="10" t="s">
        <v>9</v>
      </c>
      <c r="B344" s="10" t="s">
        <v>288</v>
      </c>
      <c r="C344" s="10">
        <v>6</v>
      </c>
      <c r="D344" s="10">
        <v>2</v>
      </c>
      <c r="E344" s="10">
        <v>1</v>
      </c>
      <c r="F344" s="10">
        <v>70318.980054999905</v>
      </c>
      <c r="G344" s="10">
        <v>24.197576666992902</v>
      </c>
    </row>
    <row r="345" spans="1:7" x14ac:dyDescent="0.2">
      <c r="A345" s="10" t="s">
        <v>9</v>
      </c>
      <c r="B345" s="10" t="s">
        <v>288</v>
      </c>
      <c r="C345" s="10">
        <v>8</v>
      </c>
      <c r="D345" s="10">
        <v>3</v>
      </c>
      <c r="E345" s="10">
        <v>1</v>
      </c>
      <c r="F345" s="10">
        <v>98933.748055000004</v>
      </c>
      <c r="G345" s="10">
        <v>29.628538249991799</v>
      </c>
    </row>
    <row r="346" spans="1:7" x14ac:dyDescent="0.2">
      <c r="A346" s="10" t="s">
        <v>9</v>
      </c>
      <c r="B346" s="10" t="s">
        <v>288</v>
      </c>
      <c r="C346" s="10">
        <v>10</v>
      </c>
      <c r="D346" s="10">
        <v>3</v>
      </c>
      <c r="E346" s="10">
        <v>1</v>
      </c>
      <c r="F346" s="10">
        <v>108756.86410999999</v>
      </c>
      <c r="G346" s="10">
        <v>40.206577709002801</v>
      </c>
    </row>
    <row r="347" spans="1:7" x14ac:dyDescent="0.2">
      <c r="A347" s="10" t="s">
        <v>9</v>
      </c>
      <c r="B347" s="10" t="s">
        <v>288</v>
      </c>
      <c r="C347" s="10">
        <v>12</v>
      </c>
      <c r="D347" s="10">
        <v>4</v>
      </c>
      <c r="E347" s="10">
        <v>1</v>
      </c>
      <c r="F347" s="10">
        <v>129115.764054999</v>
      </c>
      <c r="G347" s="10">
        <v>84.346949709011795</v>
      </c>
    </row>
    <row r="348" spans="1:7" x14ac:dyDescent="0.2">
      <c r="A348" s="10" t="s">
        <v>9</v>
      </c>
      <c r="B348" s="10" t="s">
        <v>288</v>
      </c>
      <c r="C348" s="10">
        <v>14</v>
      </c>
      <c r="D348" s="10">
        <v>4</v>
      </c>
      <c r="E348" s="10">
        <v>1</v>
      </c>
      <c r="F348" s="10">
        <v>140463.56416499999</v>
      </c>
      <c r="G348" s="10">
        <v>199.71434120800399</v>
      </c>
    </row>
    <row r="349" spans="1:7" x14ac:dyDescent="0.2">
      <c r="A349" s="10" t="s">
        <v>9</v>
      </c>
      <c r="B349" s="10" t="s">
        <v>288</v>
      </c>
      <c r="C349" s="10">
        <v>16</v>
      </c>
      <c r="D349" s="10">
        <v>5</v>
      </c>
      <c r="E349" s="10">
        <v>1</v>
      </c>
      <c r="F349" s="10">
        <v>169613.55616499999</v>
      </c>
      <c r="G349" s="10">
        <v>1089.17730733299</v>
      </c>
    </row>
    <row r="350" spans="1:7" x14ac:dyDescent="0.2">
      <c r="A350" s="10" t="s">
        <v>9</v>
      </c>
      <c r="B350" s="10" t="s">
        <v>288</v>
      </c>
      <c r="C350" s="10">
        <v>18</v>
      </c>
      <c r="D350" s="10">
        <v>6</v>
      </c>
      <c r="E350" s="10">
        <v>1</v>
      </c>
      <c r="F350" s="10">
        <v>193340.78416499999</v>
      </c>
      <c r="G350" s="10">
        <v>1348.3713286670099</v>
      </c>
    </row>
    <row r="351" spans="1:7" x14ac:dyDescent="0.2">
      <c r="A351" s="10" t="s">
        <v>9</v>
      </c>
      <c r="B351" s="10" t="s">
        <v>288</v>
      </c>
      <c r="C351" s="10">
        <v>20</v>
      </c>
      <c r="D351" s="10">
        <v>6</v>
      </c>
      <c r="E351" s="10">
        <v>1</v>
      </c>
      <c r="F351" s="10" t="s">
        <v>15</v>
      </c>
      <c r="G351" s="10" t="s">
        <v>32</v>
      </c>
    </row>
    <row r="352" spans="1:7" x14ac:dyDescent="0.2">
      <c r="A352" s="10" t="s">
        <v>9</v>
      </c>
      <c r="B352" s="10" t="s">
        <v>288</v>
      </c>
      <c r="C352" s="10">
        <v>22</v>
      </c>
      <c r="D352" s="10">
        <v>7</v>
      </c>
      <c r="E352" s="10">
        <v>1</v>
      </c>
      <c r="F352" s="10" t="s">
        <v>15</v>
      </c>
      <c r="G352" s="10" t="s">
        <v>32</v>
      </c>
    </row>
    <row r="353" spans="1:7" x14ac:dyDescent="0.2">
      <c r="A353" s="10"/>
      <c r="B353" s="10"/>
      <c r="C353" s="10"/>
      <c r="D353" s="10"/>
      <c r="E353" s="10"/>
      <c r="F353" s="10"/>
      <c r="G353" s="10"/>
    </row>
    <row r="354" spans="1:7" x14ac:dyDescent="0.2">
      <c r="A354" s="10" t="s">
        <v>9</v>
      </c>
      <c r="B354" s="10" t="s">
        <v>288</v>
      </c>
      <c r="C354" s="10">
        <v>4</v>
      </c>
      <c r="D354" s="10">
        <v>2</v>
      </c>
      <c r="E354" s="10">
        <v>0.5</v>
      </c>
      <c r="F354" s="10">
        <v>55370.467499999999</v>
      </c>
      <c r="G354" s="10">
        <v>20.238690291007501</v>
      </c>
    </row>
    <row r="355" spans="1:7" x14ac:dyDescent="0.2">
      <c r="A355" s="10" t="s">
        <v>9</v>
      </c>
      <c r="B355" s="10" t="s">
        <v>288</v>
      </c>
      <c r="C355" s="10">
        <v>6</v>
      </c>
      <c r="D355" s="10">
        <v>2</v>
      </c>
      <c r="E355" s="10">
        <v>0.5</v>
      </c>
      <c r="F355" s="10">
        <v>86433.7462499994</v>
      </c>
      <c r="G355" s="10">
        <v>24.6120517500094</v>
      </c>
    </row>
    <row r="356" spans="1:7" x14ac:dyDescent="0.2">
      <c r="A356" s="10" t="s">
        <v>9</v>
      </c>
      <c r="B356" s="10" t="s">
        <v>288</v>
      </c>
      <c r="C356" s="10">
        <v>8</v>
      </c>
      <c r="D356" s="10">
        <v>3</v>
      </c>
      <c r="E356" s="10">
        <v>0.5</v>
      </c>
      <c r="F356" s="10">
        <v>123129.297749986</v>
      </c>
      <c r="G356" s="10">
        <v>29.874563582998199</v>
      </c>
    </row>
    <row r="357" spans="1:7" x14ac:dyDescent="0.2">
      <c r="A357" s="10" t="s">
        <v>9</v>
      </c>
      <c r="B357" s="10" t="s">
        <v>288</v>
      </c>
      <c r="C357" s="10">
        <v>10</v>
      </c>
      <c r="D357" s="10">
        <v>3</v>
      </c>
      <c r="E357" s="10">
        <v>0.5</v>
      </c>
      <c r="F357" s="10">
        <v>137336.394499986</v>
      </c>
      <c r="G357" s="10">
        <v>60.724989875001398</v>
      </c>
    </row>
    <row r="358" spans="1:7" x14ac:dyDescent="0.2">
      <c r="A358" s="10" t="s">
        <v>9</v>
      </c>
      <c r="B358" s="10" t="s">
        <v>288</v>
      </c>
      <c r="C358" s="10">
        <v>12</v>
      </c>
      <c r="D358" s="10">
        <v>4</v>
      </c>
      <c r="E358" s="10">
        <v>0.5</v>
      </c>
      <c r="F358" s="10">
        <v>163221.58249999999</v>
      </c>
      <c r="G358" s="10">
        <v>163.63294895899801</v>
      </c>
    </row>
    <row r="359" spans="1:7" x14ac:dyDescent="0.2">
      <c r="A359" s="10" t="s">
        <v>9</v>
      </c>
      <c r="B359" s="10" t="s">
        <v>288</v>
      </c>
      <c r="C359" s="10">
        <v>14</v>
      </c>
      <c r="D359" s="10">
        <v>4</v>
      </c>
      <c r="E359" s="10">
        <v>0.5</v>
      </c>
      <c r="F359" s="10">
        <v>179967.67049999101</v>
      </c>
      <c r="G359" s="10">
        <v>389.12090279199703</v>
      </c>
    </row>
    <row r="360" spans="1:7" x14ac:dyDescent="0.2">
      <c r="A360" s="10" t="s">
        <v>9</v>
      </c>
      <c r="B360" s="10" t="s">
        <v>288</v>
      </c>
      <c r="C360" s="10">
        <v>16</v>
      </c>
      <c r="D360" s="10">
        <v>5</v>
      </c>
      <c r="E360" s="10">
        <v>0.5</v>
      </c>
      <c r="F360" s="10">
        <v>215229.25649999999</v>
      </c>
      <c r="G360" s="10">
        <v>1266.4958434579801</v>
      </c>
    </row>
    <row r="361" spans="1:7" x14ac:dyDescent="0.2">
      <c r="A361" s="10" t="s">
        <v>9</v>
      </c>
      <c r="B361" s="10" t="s">
        <v>288</v>
      </c>
      <c r="C361" s="10">
        <v>18</v>
      </c>
      <c r="D361" s="10">
        <v>6</v>
      </c>
      <c r="E361" s="10">
        <v>0.5</v>
      </c>
      <c r="F361" s="10">
        <v>246202.25049999999</v>
      </c>
      <c r="G361" s="10">
        <v>2459.38092787499</v>
      </c>
    </row>
    <row r="362" spans="1:7" x14ac:dyDescent="0.2">
      <c r="A362" s="10" t="s">
        <v>9</v>
      </c>
      <c r="B362" s="10" t="s">
        <v>288</v>
      </c>
      <c r="C362" s="10">
        <v>20</v>
      </c>
      <c r="D362" s="10">
        <v>6</v>
      </c>
      <c r="E362" s="10">
        <v>0.5</v>
      </c>
      <c r="F362" s="10" t="s">
        <v>15</v>
      </c>
      <c r="G362" s="10" t="s">
        <v>32</v>
      </c>
    </row>
    <row r="363" spans="1:7" x14ac:dyDescent="0.2">
      <c r="A363" s="10" t="s">
        <v>9</v>
      </c>
      <c r="B363" s="10" t="s">
        <v>288</v>
      </c>
      <c r="C363" s="10">
        <v>22</v>
      </c>
      <c r="D363" s="10">
        <v>7</v>
      </c>
      <c r="E363" s="10">
        <v>0.5</v>
      </c>
      <c r="F363" s="10" t="s">
        <v>15</v>
      </c>
      <c r="G363" s="10" t="s">
        <v>32</v>
      </c>
    </row>
    <row r="364" spans="1:7" x14ac:dyDescent="0.2">
      <c r="A364" s="10"/>
      <c r="B364" s="10"/>
      <c r="C364" s="10"/>
      <c r="D364" s="10"/>
      <c r="E364" s="10"/>
      <c r="F364" s="11"/>
      <c r="G364" s="11"/>
    </row>
    <row r="365" spans="1:7" x14ac:dyDescent="0.2">
      <c r="A365" s="10" t="s">
        <v>9</v>
      </c>
      <c r="B365" s="10" t="s">
        <v>288</v>
      </c>
      <c r="C365" s="10">
        <v>4</v>
      </c>
      <c r="D365" s="10">
        <v>2</v>
      </c>
      <c r="E365" s="10">
        <v>0.3</v>
      </c>
      <c r="F365" s="10">
        <v>59499.790499999901</v>
      </c>
      <c r="G365" s="10">
        <v>19.9567582910094</v>
      </c>
    </row>
    <row r="366" spans="1:7" x14ac:dyDescent="0.2">
      <c r="A366" s="10" t="s">
        <v>9</v>
      </c>
      <c r="B366" s="10" t="s">
        <v>288</v>
      </c>
      <c r="C366" s="10">
        <v>6</v>
      </c>
      <c r="D366" s="10">
        <v>2</v>
      </c>
      <c r="E366" s="10">
        <v>0.3</v>
      </c>
      <c r="F366" s="10">
        <v>98314.348299999794</v>
      </c>
      <c r="G366" s="10">
        <v>24.077675207998201</v>
      </c>
    </row>
    <row r="367" spans="1:7" x14ac:dyDescent="0.2">
      <c r="A367" s="10" t="s">
        <v>9</v>
      </c>
      <c r="B367" s="10" t="s">
        <v>288</v>
      </c>
      <c r="C367" s="10">
        <v>8</v>
      </c>
      <c r="D367" s="10">
        <v>3</v>
      </c>
      <c r="E367" s="10">
        <v>0.3</v>
      </c>
      <c r="F367" s="10">
        <v>146710.15184999901</v>
      </c>
      <c r="G367" s="10">
        <v>31.715048875004801</v>
      </c>
    </row>
    <row r="368" spans="1:7" x14ac:dyDescent="0.2">
      <c r="A368" s="10" t="s">
        <v>9</v>
      </c>
      <c r="B368" s="10" t="s">
        <v>288</v>
      </c>
      <c r="C368" s="10">
        <v>10</v>
      </c>
      <c r="D368" s="10">
        <v>3</v>
      </c>
      <c r="E368" s="10">
        <v>0.3</v>
      </c>
      <c r="F368" s="10">
        <v>169110.05339999899</v>
      </c>
      <c r="G368" s="10">
        <v>59.7696593750006</v>
      </c>
    </row>
    <row r="369" spans="1:7" x14ac:dyDescent="0.2">
      <c r="A369" s="10" t="s">
        <v>9</v>
      </c>
      <c r="B369" s="10" t="s">
        <v>288</v>
      </c>
      <c r="C369" s="10">
        <v>12</v>
      </c>
      <c r="D369" s="10">
        <v>4</v>
      </c>
      <c r="E369" s="10">
        <v>0.3</v>
      </c>
      <c r="F369" s="10">
        <v>201834.45474999899</v>
      </c>
      <c r="G369" s="10">
        <v>172.32039374999201</v>
      </c>
    </row>
    <row r="370" spans="1:7" x14ac:dyDescent="0.2">
      <c r="A370" s="10" t="s">
        <v>9</v>
      </c>
      <c r="B370" s="10" t="s">
        <v>288</v>
      </c>
      <c r="C370" s="10">
        <v>14</v>
      </c>
      <c r="D370" s="10">
        <v>4</v>
      </c>
      <c r="E370" s="10">
        <v>0.3</v>
      </c>
      <c r="F370" s="10">
        <v>218648.91139999899</v>
      </c>
      <c r="G370" s="10">
        <v>351.38930283300499</v>
      </c>
    </row>
    <row r="371" spans="1:7" x14ac:dyDescent="0.2">
      <c r="A371" s="10" t="s">
        <v>9</v>
      </c>
      <c r="B371" s="10" t="s">
        <v>288</v>
      </c>
      <c r="C371" s="10">
        <v>16</v>
      </c>
      <c r="D371" s="10">
        <v>5</v>
      </c>
      <c r="E371" s="10">
        <v>0.3</v>
      </c>
      <c r="F371" s="10">
        <v>256236.647499999</v>
      </c>
      <c r="G371" s="10">
        <v>990.27257224998903</v>
      </c>
    </row>
    <row r="372" spans="1:7" x14ac:dyDescent="0.2">
      <c r="A372" s="10" t="s">
        <v>9</v>
      </c>
      <c r="B372" s="10" t="s">
        <v>288</v>
      </c>
      <c r="C372" s="10">
        <v>18</v>
      </c>
      <c r="D372" s="10">
        <v>6</v>
      </c>
      <c r="E372" s="10">
        <v>0.3</v>
      </c>
      <c r="F372" s="10">
        <v>297924.12874999898</v>
      </c>
      <c r="G372" s="10">
        <v>2384.3124603329902</v>
      </c>
    </row>
    <row r="373" spans="1:7" x14ac:dyDescent="0.2">
      <c r="A373" s="10" t="s">
        <v>9</v>
      </c>
      <c r="B373" s="10" t="s">
        <v>288</v>
      </c>
      <c r="C373" s="10">
        <v>20</v>
      </c>
      <c r="D373" s="10">
        <v>6</v>
      </c>
      <c r="E373" s="10">
        <v>0.3</v>
      </c>
      <c r="F373" s="10" t="s">
        <v>15</v>
      </c>
      <c r="G373" s="10" t="s">
        <v>32</v>
      </c>
    </row>
    <row r="374" spans="1:7" x14ac:dyDescent="0.2">
      <c r="A374" s="10" t="s">
        <v>9</v>
      </c>
      <c r="B374" s="10" t="s">
        <v>288</v>
      </c>
      <c r="C374" s="10">
        <v>22</v>
      </c>
      <c r="D374" s="10">
        <v>7</v>
      </c>
      <c r="E374" s="10">
        <v>0.3</v>
      </c>
      <c r="F374" s="10" t="s">
        <v>15</v>
      </c>
      <c r="G374" s="10" t="s">
        <v>32</v>
      </c>
    </row>
    <row r="375" spans="1:7" x14ac:dyDescent="0.2">
      <c r="A375" s="10"/>
      <c r="B375" s="10"/>
      <c r="C375" s="10"/>
      <c r="D375" s="10"/>
      <c r="E375" s="10"/>
      <c r="F375" s="10"/>
      <c r="G375" s="10"/>
    </row>
    <row r="376" spans="1:7" x14ac:dyDescent="0.2">
      <c r="A376" s="10" t="s">
        <v>10</v>
      </c>
      <c r="B376" s="10" t="s">
        <v>288</v>
      </c>
      <c r="C376" s="10">
        <v>4</v>
      </c>
      <c r="D376" s="10">
        <v>1</v>
      </c>
      <c r="E376" s="10">
        <v>1</v>
      </c>
      <c r="F376" s="10">
        <v>38622.156000000003</v>
      </c>
      <c r="G376" s="10">
        <v>14.916541624988801</v>
      </c>
    </row>
    <row r="377" spans="1:7" x14ac:dyDescent="0.2">
      <c r="A377" s="10" t="s">
        <v>10</v>
      </c>
      <c r="B377" s="10" t="s">
        <v>288</v>
      </c>
      <c r="C377" s="10">
        <v>6</v>
      </c>
      <c r="D377" s="10">
        <v>2</v>
      </c>
      <c r="E377" s="10">
        <v>1</v>
      </c>
      <c r="F377" s="10">
        <v>70962.432054999896</v>
      </c>
      <c r="G377" s="10">
        <v>24.530928541993401</v>
      </c>
    </row>
    <row r="378" spans="1:7" x14ac:dyDescent="0.2">
      <c r="A378" s="10" t="s">
        <v>10</v>
      </c>
      <c r="B378" s="10" t="s">
        <v>288</v>
      </c>
      <c r="C378" s="10">
        <v>8</v>
      </c>
      <c r="D378" s="10">
        <v>3</v>
      </c>
      <c r="E378" s="10">
        <v>1</v>
      </c>
      <c r="F378" s="10">
        <v>88285.872109999997</v>
      </c>
      <c r="G378" s="10">
        <v>29.1393937910033</v>
      </c>
    </row>
    <row r="379" spans="1:7" x14ac:dyDescent="0.2">
      <c r="A379" s="10" t="s">
        <v>10</v>
      </c>
      <c r="B379" s="10" t="s">
        <v>288</v>
      </c>
      <c r="C379" s="10">
        <v>10</v>
      </c>
      <c r="D379" s="10">
        <v>3</v>
      </c>
      <c r="E379" s="10">
        <v>1</v>
      </c>
      <c r="F379" s="10">
        <v>111762.780109999</v>
      </c>
      <c r="G379" s="10">
        <v>52.777675582998199</v>
      </c>
    </row>
    <row r="380" spans="1:7" x14ac:dyDescent="0.2">
      <c r="A380" s="10" t="s">
        <v>10</v>
      </c>
      <c r="B380" s="10" t="s">
        <v>288</v>
      </c>
      <c r="C380" s="10">
        <v>12</v>
      </c>
      <c r="D380" s="10">
        <v>4</v>
      </c>
      <c r="E380" s="10">
        <v>1</v>
      </c>
      <c r="F380" s="10">
        <v>132165.52805499901</v>
      </c>
      <c r="G380" s="10">
        <v>157.327331082982</v>
      </c>
    </row>
    <row r="381" spans="1:7" x14ac:dyDescent="0.2">
      <c r="A381" s="10" t="s">
        <v>10</v>
      </c>
      <c r="B381" s="10" t="s">
        <v>288</v>
      </c>
      <c r="C381" s="10">
        <v>14</v>
      </c>
      <c r="D381" s="10">
        <v>4</v>
      </c>
      <c r="E381" s="10">
        <v>1</v>
      </c>
      <c r="F381" s="10">
        <v>144676.32010999901</v>
      </c>
      <c r="G381" s="10">
        <v>565.29553279202003</v>
      </c>
    </row>
    <row r="382" spans="1:7" x14ac:dyDescent="0.2">
      <c r="A382" s="10" t="s">
        <v>10</v>
      </c>
      <c r="B382" s="10" t="s">
        <v>288</v>
      </c>
      <c r="C382" s="10">
        <v>16</v>
      </c>
      <c r="D382" s="10">
        <v>5</v>
      </c>
      <c r="E382" s="10">
        <v>1</v>
      </c>
      <c r="F382" s="10">
        <v>170338.36822</v>
      </c>
      <c r="G382" s="10">
        <v>1743.9649051250001</v>
      </c>
    </row>
    <row r="383" spans="1:7" x14ac:dyDescent="0.2">
      <c r="A383" s="10" t="s">
        <v>10</v>
      </c>
      <c r="B383" s="10" t="s">
        <v>288</v>
      </c>
      <c r="C383" s="10">
        <v>18</v>
      </c>
      <c r="D383" s="10">
        <v>6</v>
      </c>
      <c r="E383" s="10">
        <v>1</v>
      </c>
      <c r="F383" s="10">
        <v>189584.32805499999</v>
      </c>
      <c r="G383" s="10">
        <v>15077.1495339999</v>
      </c>
    </row>
    <row r="384" spans="1:7" x14ac:dyDescent="0.2">
      <c r="A384" s="10" t="s">
        <v>10</v>
      </c>
      <c r="B384" s="10" t="s">
        <v>288</v>
      </c>
      <c r="C384" s="10">
        <v>20</v>
      </c>
      <c r="D384" s="10">
        <v>6</v>
      </c>
      <c r="E384" s="10">
        <v>1</v>
      </c>
      <c r="F384" s="10" t="s">
        <v>15</v>
      </c>
      <c r="G384" s="10" t="s">
        <v>32</v>
      </c>
    </row>
    <row r="385" spans="1:7" x14ac:dyDescent="0.2">
      <c r="A385" s="10" t="s">
        <v>10</v>
      </c>
      <c r="B385" s="10" t="s">
        <v>288</v>
      </c>
      <c r="C385" s="10">
        <v>22</v>
      </c>
      <c r="D385" s="10">
        <v>7</v>
      </c>
      <c r="E385" s="10">
        <v>1</v>
      </c>
      <c r="F385" s="10" t="s">
        <v>15</v>
      </c>
      <c r="G385" s="10" t="s">
        <v>32</v>
      </c>
    </row>
    <row r="386" spans="1:7" x14ac:dyDescent="0.2">
      <c r="A386" s="10"/>
      <c r="B386" s="10"/>
      <c r="C386" s="10"/>
      <c r="D386" s="10"/>
      <c r="E386" s="10"/>
      <c r="F386" s="11"/>
      <c r="G386" s="11"/>
    </row>
    <row r="387" spans="1:7" x14ac:dyDescent="0.2">
      <c r="A387" s="10" t="s">
        <v>10</v>
      </c>
      <c r="B387" s="10" t="s">
        <v>288</v>
      </c>
      <c r="C387" s="10">
        <v>4</v>
      </c>
      <c r="D387" s="10">
        <v>1</v>
      </c>
      <c r="E387" s="10">
        <v>0.5</v>
      </c>
      <c r="F387" s="10">
        <v>47473.066749972502</v>
      </c>
      <c r="G387" s="10">
        <v>14.924956125003501</v>
      </c>
    </row>
    <row r="388" spans="1:7" x14ac:dyDescent="0.2">
      <c r="A388" s="10" t="s">
        <v>10</v>
      </c>
      <c r="B388" s="10" t="s">
        <v>288</v>
      </c>
      <c r="C388" s="10">
        <v>6</v>
      </c>
      <c r="D388" s="10">
        <v>2</v>
      </c>
      <c r="E388" s="10">
        <v>0.5</v>
      </c>
      <c r="F388" s="10">
        <v>89362.668499999199</v>
      </c>
      <c r="G388" s="10">
        <v>27.322370040987099</v>
      </c>
    </row>
    <row r="389" spans="1:7" x14ac:dyDescent="0.2">
      <c r="A389" s="10" t="s">
        <v>10</v>
      </c>
      <c r="B389" s="10" t="s">
        <v>288</v>
      </c>
      <c r="C389" s="10">
        <v>8</v>
      </c>
      <c r="D389" s="10">
        <v>3</v>
      </c>
      <c r="E389" s="10">
        <v>0.5</v>
      </c>
      <c r="F389" s="10">
        <v>131458.51949999999</v>
      </c>
      <c r="G389" s="10">
        <v>36.727830209012602</v>
      </c>
    </row>
    <row r="390" spans="1:7" x14ac:dyDescent="0.2">
      <c r="A390" s="10" t="s">
        <v>10</v>
      </c>
      <c r="B390" s="10" t="s">
        <v>288</v>
      </c>
      <c r="C390" s="10">
        <v>10</v>
      </c>
      <c r="D390" s="10">
        <v>3</v>
      </c>
      <c r="E390" s="10">
        <v>0.5</v>
      </c>
      <c r="F390" s="10">
        <v>141240.64574999901</v>
      </c>
      <c r="G390" s="10">
        <v>146.033168458001</v>
      </c>
    </row>
    <row r="391" spans="1:7" x14ac:dyDescent="0.2">
      <c r="A391" s="10" t="s">
        <v>10</v>
      </c>
      <c r="B391" s="10" t="s">
        <v>288</v>
      </c>
      <c r="C391" s="10">
        <v>12</v>
      </c>
      <c r="D391" s="10">
        <v>4</v>
      </c>
      <c r="E391" s="10">
        <v>0.5</v>
      </c>
      <c r="F391" s="10">
        <v>168123.50899999999</v>
      </c>
      <c r="G391" s="10">
        <v>441.34163116698602</v>
      </c>
    </row>
    <row r="392" spans="1:7" x14ac:dyDescent="0.2">
      <c r="A392" s="10" t="s">
        <v>10</v>
      </c>
      <c r="B392" s="10" t="s">
        <v>288</v>
      </c>
      <c r="C392" s="10">
        <v>14</v>
      </c>
      <c r="D392" s="10">
        <v>4</v>
      </c>
      <c r="E392" s="10">
        <v>0.5</v>
      </c>
      <c r="F392" s="10">
        <v>183494.02674999999</v>
      </c>
      <c r="G392" s="10">
        <v>1391.90255324999</v>
      </c>
    </row>
    <row r="393" spans="1:7" x14ac:dyDescent="0.2">
      <c r="A393" s="10" t="s">
        <v>10</v>
      </c>
      <c r="B393" s="10" t="s">
        <v>288</v>
      </c>
      <c r="C393" s="10">
        <v>16</v>
      </c>
      <c r="D393" s="10">
        <v>5</v>
      </c>
      <c r="E393" s="10">
        <v>0.5</v>
      </c>
      <c r="F393" s="10">
        <v>215009.673249985</v>
      </c>
      <c r="G393" s="10">
        <v>3255.5283064169898</v>
      </c>
    </row>
    <row r="394" spans="1:7" x14ac:dyDescent="0.2">
      <c r="A394" s="10" t="s">
        <v>10</v>
      </c>
      <c r="B394" s="10" t="s">
        <v>288</v>
      </c>
      <c r="C394" s="10">
        <v>18</v>
      </c>
      <c r="D394" s="10">
        <v>6</v>
      </c>
      <c r="E394" s="10">
        <v>0.5</v>
      </c>
      <c r="F394" s="10">
        <v>241503.50524999999</v>
      </c>
      <c r="G394" s="10">
        <v>11013.757390499901</v>
      </c>
    </row>
    <row r="395" spans="1:7" x14ac:dyDescent="0.2">
      <c r="A395" s="10" t="s">
        <v>10</v>
      </c>
      <c r="B395" s="10" t="s">
        <v>288</v>
      </c>
      <c r="C395" s="10">
        <v>20</v>
      </c>
      <c r="D395" s="10">
        <v>6</v>
      </c>
      <c r="E395" s="10">
        <v>0.5</v>
      </c>
      <c r="F395" s="10" t="s">
        <v>15</v>
      </c>
      <c r="G395" s="10" t="s">
        <v>32</v>
      </c>
    </row>
    <row r="396" spans="1:7" x14ac:dyDescent="0.2">
      <c r="A396" s="10" t="s">
        <v>10</v>
      </c>
      <c r="B396" s="10" t="s">
        <v>288</v>
      </c>
      <c r="C396" s="10">
        <v>22</v>
      </c>
      <c r="D396" s="10">
        <v>7</v>
      </c>
      <c r="E396" s="10">
        <v>0.5</v>
      </c>
      <c r="F396" s="10" t="s">
        <v>15</v>
      </c>
      <c r="G396" s="10" t="s">
        <v>32</v>
      </c>
    </row>
    <row r="397" spans="1:7" x14ac:dyDescent="0.2">
      <c r="A397" s="10"/>
      <c r="B397" s="10"/>
      <c r="C397" s="10"/>
      <c r="D397" s="10"/>
      <c r="E397" s="10"/>
      <c r="F397" s="11"/>
      <c r="G397" s="11"/>
    </row>
    <row r="398" spans="1:7" x14ac:dyDescent="0.2">
      <c r="A398" s="10" t="s">
        <v>10</v>
      </c>
      <c r="B398" s="10" t="s">
        <v>288</v>
      </c>
      <c r="C398" s="10">
        <v>4</v>
      </c>
      <c r="D398" s="10">
        <v>1</v>
      </c>
      <c r="E398" s="10">
        <v>0.3</v>
      </c>
      <c r="F398" s="11" t="s">
        <v>15</v>
      </c>
      <c r="G398" s="10">
        <v>13.6912092920101</v>
      </c>
    </row>
    <row r="399" spans="1:7" x14ac:dyDescent="0.2">
      <c r="A399" s="10" t="s">
        <v>10</v>
      </c>
      <c r="B399" s="10" t="s">
        <v>288</v>
      </c>
      <c r="C399" s="10">
        <v>6</v>
      </c>
      <c r="D399" s="10">
        <v>2</v>
      </c>
      <c r="E399" s="10">
        <v>0.3</v>
      </c>
      <c r="F399" s="11" t="s">
        <v>15</v>
      </c>
      <c r="G399" s="10">
        <v>19.141671041987099</v>
      </c>
    </row>
    <row r="400" spans="1:7" x14ac:dyDescent="0.2">
      <c r="A400" s="10" t="s">
        <v>10</v>
      </c>
      <c r="B400" s="10" t="s">
        <v>288</v>
      </c>
      <c r="C400" s="10">
        <v>8</v>
      </c>
      <c r="D400" s="10">
        <v>3</v>
      </c>
      <c r="E400" s="10">
        <v>0.3</v>
      </c>
      <c r="F400" s="11" t="s">
        <v>15</v>
      </c>
      <c r="G400" s="10">
        <v>28.3588562909862</v>
      </c>
    </row>
    <row r="401" spans="1:7" x14ac:dyDescent="0.2">
      <c r="A401" s="10" t="s">
        <v>10</v>
      </c>
      <c r="B401" s="10" t="s">
        <v>288</v>
      </c>
      <c r="C401" s="10">
        <v>10</v>
      </c>
      <c r="D401" s="10">
        <v>3</v>
      </c>
      <c r="E401" s="10">
        <v>0.3</v>
      </c>
      <c r="F401" s="10">
        <v>171799.46554999999</v>
      </c>
      <c r="G401" s="10">
        <v>161.82619933300799</v>
      </c>
    </row>
    <row r="402" spans="1:7" x14ac:dyDescent="0.2">
      <c r="A402" s="10" t="s">
        <v>10</v>
      </c>
      <c r="B402" s="10" t="s">
        <v>288</v>
      </c>
      <c r="C402" s="10">
        <v>12</v>
      </c>
      <c r="D402" s="10">
        <v>4</v>
      </c>
      <c r="E402" s="10">
        <v>0.3</v>
      </c>
      <c r="F402" s="10">
        <v>201105.13284999999</v>
      </c>
      <c r="G402" s="10">
        <v>383.85533224997903</v>
      </c>
    </row>
    <row r="403" spans="1:7" x14ac:dyDescent="0.2">
      <c r="A403" s="10" t="s">
        <v>10</v>
      </c>
      <c r="B403" s="10" t="s">
        <v>288</v>
      </c>
      <c r="C403" s="10">
        <v>14</v>
      </c>
      <c r="D403" s="10">
        <v>4</v>
      </c>
      <c r="E403" s="10">
        <v>0.3</v>
      </c>
      <c r="F403" s="10">
        <v>227384.781549999</v>
      </c>
      <c r="G403" s="10">
        <v>1262.5975148330001</v>
      </c>
    </row>
    <row r="404" spans="1:7" x14ac:dyDescent="0.2">
      <c r="A404" s="10" t="s">
        <v>10</v>
      </c>
      <c r="B404" s="10" t="s">
        <v>288</v>
      </c>
      <c r="C404" s="10">
        <v>16</v>
      </c>
      <c r="D404" s="10">
        <v>5</v>
      </c>
      <c r="E404" s="10">
        <v>0.3</v>
      </c>
      <c r="F404" s="10">
        <v>246984.66965</v>
      </c>
      <c r="G404" s="10">
        <v>2838.2161893329999</v>
      </c>
    </row>
    <row r="405" spans="1:7" x14ac:dyDescent="0.2">
      <c r="A405" s="10" t="s">
        <v>10</v>
      </c>
      <c r="B405" s="10" t="s">
        <v>288</v>
      </c>
      <c r="C405" s="10">
        <v>18</v>
      </c>
      <c r="D405" s="10">
        <v>6</v>
      </c>
      <c r="E405" s="10">
        <v>0.3</v>
      </c>
      <c r="F405" s="10" t="s">
        <v>15</v>
      </c>
      <c r="G405" s="10" t="s">
        <v>32</v>
      </c>
    </row>
    <row r="406" spans="1:7" x14ac:dyDescent="0.2">
      <c r="A406" s="10" t="s">
        <v>10</v>
      </c>
      <c r="B406" s="10" t="s">
        <v>288</v>
      </c>
      <c r="C406" s="10">
        <v>20</v>
      </c>
      <c r="D406" s="10">
        <v>6</v>
      </c>
      <c r="E406" s="10">
        <v>0.3</v>
      </c>
      <c r="F406" s="10" t="s">
        <v>15</v>
      </c>
      <c r="G406" s="10" t="s">
        <v>32</v>
      </c>
    </row>
    <row r="407" spans="1:7" x14ac:dyDescent="0.2">
      <c r="A407" s="10" t="s">
        <v>10</v>
      </c>
      <c r="B407" s="10" t="s">
        <v>288</v>
      </c>
      <c r="C407" s="10">
        <v>22</v>
      </c>
      <c r="D407" s="10">
        <v>7</v>
      </c>
      <c r="E407" s="10">
        <v>0.3</v>
      </c>
      <c r="F407" s="10" t="s">
        <v>15</v>
      </c>
      <c r="G407" s="10" t="s">
        <v>32</v>
      </c>
    </row>
    <row r="408" spans="1:7" x14ac:dyDescent="0.2">
      <c r="A408" s="10"/>
      <c r="B408" s="10"/>
      <c r="C408" s="10"/>
      <c r="D408" s="10"/>
      <c r="E408" s="10"/>
      <c r="F408" s="10"/>
      <c r="G408" s="10"/>
    </row>
    <row r="409" spans="1:7" x14ac:dyDescent="0.2">
      <c r="A409" s="10" t="s">
        <v>11</v>
      </c>
      <c r="B409" s="10" t="s">
        <v>288</v>
      </c>
      <c r="C409" s="10">
        <v>4</v>
      </c>
      <c r="D409" s="10">
        <v>1</v>
      </c>
      <c r="E409" s="10">
        <v>1</v>
      </c>
      <c r="F409" s="10">
        <v>38500.2599999999</v>
      </c>
      <c r="G409" s="10">
        <v>18.986387292010399</v>
      </c>
    </row>
    <row r="410" spans="1:7" x14ac:dyDescent="0.2">
      <c r="A410" s="10" t="s">
        <v>11</v>
      </c>
      <c r="B410" s="10" t="s">
        <v>288</v>
      </c>
      <c r="C410" s="10">
        <v>6</v>
      </c>
      <c r="D410" s="10">
        <v>2</v>
      </c>
      <c r="E410" s="10">
        <v>1</v>
      </c>
      <c r="F410" s="10">
        <v>64509.840055000001</v>
      </c>
      <c r="G410" s="10">
        <v>22.885559332993498</v>
      </c>
    </row>
    <row r="411" spans="1:7" x14ac:dyDescent="0.2">
      <c r="A411" s="10" t="s">
        <v>11</v>
      </c>
      <c r="B411" s="10" t="s">
        <v>288</v>
      </c>
      <c r="C411" s="10">
        <v>8</v>
      </c>
      <c r="D411" s="10">
        <v>3</v>
      </c>
      <c r="E411" s="10">
        <v>1</v>
      </c>
      <c r="F411" s="10">
        <v>88037.640054999996</v>
      </c>
      <c r="G411" s="10">
        <v>27.2650036670092</v>
      </c>
    </row>
    <row r="412" spans="1:7" x14ac:dyDescent="0.2">
      <c r="A412" s="10" t="s">
        <v>11</v>
      </c>
      <c r="B412" s="10" t="s">
        <v>288</v>
      </c>
      <c r="C412" s="10">
        <v>10</v>
      </c>
      <c r="D412" s="10">
        <v>3</v>
      </c>
      <c r="E412" s="10">
        <v>1</v>
      </c>
      <c r="F412" s="10">
        <v>106011.56411000001</v>
      </c>
      <c r="G412" s="10">
        <v>38.633261374983697</v>
      </c>
    </row>
    <row r="413" spans="1:7" x14ac:dyDescent="0.2">
      <c r="A413" s="10" t="s">
        <v>11</v>
      </c>
      <c r="B413" s="10" t="s">
        <v>288</v>
      </c>
      <c r="C413" s="10">
        <v>12</v>
      </c>
      <c r="D413" s="10">
        <v>4</v>
      </c>
      <c r="E413" s="10">
        <v>1</v>
      </c>
      <c r="F413" s="10">
        <v>122736.57610999999</v>
      </c>
      <c r="G413" s="10">
        <v>103.738292582973</v>
      </c>
    </row>
    <row r="414" spans="1:7" x14ac:dyDescent="0.2">
      <c r="A414" s="10" t="s">
        <v>11</v>
      </c>
      <c r="B414" s="10" t="s">
        <v>288</v>
      </c>
      <c r="C414" s="10">
        <v>14</v>
      </c>
      <c r="D414" s="10">
        <v>4</v>
      </c>
      <c r="E414" s="10">
        <v>1</v>
      </c>
      <c r="F414" s="10">
        <v>130549.608216066</v>
      </c>
      <c r="G414" s="10">
        <v>218.05113841700901</v>
      </c>
    </row>
    <row r="415" spans="1:7" x14ac:dyDescent="0.2">
      <c r="A415" s="10" t="s">
        <v>11</v>
      </c>
      <c r="B415" s="10" t="s">
        <v>288</v>
      </c>
      <c r="C415" s="10">
        <v>16</v>
      </c>
      <c r="D415" s="10">
        <v>5</v>
      </c>
      <c r="E415" s="10">
        <v>1</v>
      </c>
      <c r="F415" s="10">
        <v>161818.164271213</v>
      </c>
      <c r="G415" s="10">
        <v>1739.42517666702</v>
      </c>
    </row>
    <row r="416" spans="1:7" x14ac:dyDescent="0.2">
      <c r="A416" s="10" t="s">
        <v>11</v>
      </c>
      <c r="B416" s="10" t="s">
        <v>288</v>
      </c>
      <c r="C416" s="10">
        <v>18</v>
      </c>
      <c r="D416" s="10">
        <v>5</v>
      </c>
      <c r="E416" s="10">
        <v>1</v>
      </c>
      <c r="F416" s="10" t="s">
        <v>15</v>
      </c>
      <c r="G416" s="10" t="s">
        <v>32</v>
      </c>
    </row>
    <row r="417" spans="1:7" x14ac:dyDescent="0.2">
      <c r="A417" s="10" t="s">
        <v>11</v>
      </c>
      <c r="B417" s="10" t="s">
        <v>288</v>
      </c>
      <c r="C417" s="10">
        <v>20</v>
      </c>
      <c r="D417" s="10">
        <v>6</v>
      </c>
      <c r="E417" s="10">
        <v>1</v>
      </c>
      <c r="F417" s="10" t="s">
        <v>15</v>
      </c>
      <c r="G417" s="10" t="s">
        <v>32</v>
      </c>
    </row>
    <row r="418" spans="1:7" x14ac:dyDescent="0.2">
      <c r="A418" s="10" t="s">
        <v>11</v>
      </c>
      <c r="B418" s="10" t="s">
        <v>288</v>
      </c>
      <c r="C418" s="10">
        <v>22</v>
      </c>
      <c r="D418" s="10">
        <v>7</v>
      </c>
      <c r="E418" s="10">
        <v>1</v>
      </c>
      <c r="F418" s="10" t="s">
        <v>15</v>
      </c>
      <c r="G418" s="10" t="s">
        <v>32</v>
      </c>
    </row>
    <row r="419" spans="1:7" x14ac:dyDescent="0.2">
      <c r="A419" s="10"/>
      <c r="B419" s="10"/>
      <c r="C419" s="10"/>
      <c r="D419" s="10"/>
      <c r="E419" s="10"/>
      <c r="F419" s="11"/>
      <c r="G419" s="11"/>
    </row>
    <row r="420" spans="1:7" x14ac:dyDescent="0.2">
      <c r="A420" s="10" t="s">
        <v>11</v>
      </c>
      <c r="B420" s="10" t="s">
        <v>288</v>
      </c>
      <c r="C420" s="10">
        <v>4</v>
      </c>
      <c r="D420" s="10">
        <v>1</v>
      </c>
      <c r="E420" s="10">
        <v>0.5</v>
      </c>
      <c r="F420" s="10">
        <v>47323.2362499999</v>
      </c>
      <c r="G420" s="10">
        <v>18.4824750840198</v>
      </c>
    </row>
    <row r="421" spans="1:7" x14ac:dyDescent="0.2">
      <c r="A421" s="10" t="s">
        <v>11</v>
      </c>
      <c r="B421" s="10" t="s">
        <v>288</v>
      </c>
      <c r="C421" s="10">
        <v>6</v>
      </c>
      <c r="D421" s="10">
        <v>2</v>
      </c>
      <c r="E421" s="10">
        <v>0.5</v>
      </c>
      <c r="F421" s="10">
        <v>79293.344999999899</v>
      </c>
      <c r="G421" s="10">
        <v>22.6286055420059</v>
      </c>
    </row>
    <row r="422" spans="1:7" x14ac:dyDescent="0.2">
      <c r="A422" s="10" t="s">
        <v>11</v>
      </c>
      <c r="B422" s="10" t="s">
        <v>288</v>
      </c>
      <c r="C422" s="10">
        <v>8</v>
      </c>
      <c r="D422" s="10">
        <v>3</v>
      </c>
      <c r="E422" s="10">
        <v>0.5</v>
      </c>
      <c r="F422" s="10">
        <v>117750.798749999</v>
      </c>
      <c r="G422" s="10">
        <v>27.731051292008399</v>
      </c>
    </row>
    <row r="423" spans="1:7" x14ac:dyDescent="0.2">
      <c r="A423" s="10" t="s">
        <v>11</v>
      </c>
      <c r="B423" s="10" t="s">
        <v>288</v>
      </c>
      <c r="C423" s="10">
        <v>10</v>
      </c>
      <c r="D423" s="10">
        <v>3</v>
      </c>
      <c r="E423" s="10">
        <v>0.5</v>
      </c>
      <c r="F423" s="10">
        <v>133976.16749998799</v>
      </c>
      <c r="G423" s="10">
        <v>58.967848375003001</v>
      </c>
    </row>
    <row r="424" spans="1:7" x14ac:dyDescent="0.2">
      <c r="A424" s="10" t="s">
        <v>11</v>
      </c>
      <c r="B424" s="10" t="s">
        <v>288</v>
      </c>
      <c r="C424" s="10">
        <v>12</v>
      </c>
      <c r="D424" s="10">
        <v>4</v>
      </c>
      <c r="E424" s="10">
        <v>0.5</v>
      </c>
      <c r="F424" s="10">
        <v>154583.93824998799</v>
      </c>
      <c r="G424" s="10">
        <v>230.03201216700799</v>
      </c>
    </row>
    <row r="425" spans="1:7" x14ac:dyDescent="0.2">
      <c r="A425" s="10" t="s">
        <v>11</v>
      </c>
      <c r="B425" s="10" t="s">
        <v>288</v>
      </c>
      <c r="C425" s="10">
        <v>14</v>
      </c>
      <c r="D425" s="10">
        <v>4</v>
      </c>
      <c r="E425" s="10">
        <v>0.5</v>
      </c>
      <c r="F425" s="10">
        <v>167739.77299999999</v>
      </c>
      <c r="G425" s="10">
        <v>458.206829917005</v>
      </c>
    </row>
    <row r="426" spans="1:7" x14ac:dyDescent="0.2">
      <c r="A426" s="10" t="s">
        <v>11</v>
      </c>
      <c r="B426" s="10" t="s">
        <v>288</v>
      </c>
      <c r="C426" s="10">
        <v>16</v>
      </c>
      <c r="D426" s="10">
        <v>5</v>
      </c>
      <c r="E426" s="10">
        <v>0.5</v>
      </c>
      <c r="F426" s="10">
        <v>201506.54974999899</v>
      </c>
      <c r="G426" s="10">
        <v>2556.5171463339898</v>
      </c>
    </row>
    <row r="427" spans="1:7" x14ac:dyDescent="0.2">
      <c r="A427" s="10" t="s">
        <v>11</v>
      </c>
      <c r="B427" s="10" t="s">
        <v>288</v>
      </c>
      <c r="C427" s="10">
        <v>18</v>
      </c>
      <c r="D427" s="10">
        <v>5</v>
      </c>
      <c r="E427" s="10">
        <v>0.5</v>
      </c>
      <c r="F427" s="10" t="s">
        <v>15</v>
      </c>
      <c r="G427" s="10" t="s">
        <v>32</v>
      </c>
    </row>
    <row r="428" spans="1:7" x14ac:dyDescent="0.2">
      <c r="A428" s="10" t="s">
        <v>11</v>
      </c>
      <c r="B428" s="10" t="s">
        <v>288</v>
      </c>
      <c r="C428" s="10">
        <v>20</v>
      </c>
      <c r="D428" s="10">
        <v>6</v>
      </c>
      <c r="E428" s="10">
        <v>0.5</v>
      </c>
      <c r="F428" s="10" t="s">
        <v>15</v>
      </c>
      <c r="G428" s="10" t="s">
        <v>32</v>
      </c>
    </row>
    <row r="429" spans="1:7" x14ac:dyDescent="0.2">
      <c r="A429" s="10" t="s">
        <v>11</v>
      </c>
      <c r="B429" s="10" t="s">
        <v>288</v>
      </c>
      <c r="C429" s="10">
        <v>22</v>
      </c>
      <c r="D429" s="10">
        <v>7</v>
      </c>
      <c r="E429" s="10">
        <v>0.5</v>
      </c>
      <c r="F429" s="10" t="s">
        <v>15</v>
      </c>
      <c r="G429" s="10" t="s">
        <v>32</v>
      </c>
    </row>
    <row r="430" spans="1:7" x14ac:dyDescent="0.2">
      <c r="A430" s="10"/>
      <c r="B430" s="10"/>
      <c r="C430" s="10"/>
      <c r="D430" s="10"/>
      <c r="E430" s="10"/>
      <c r="F430" s="11"/>
      <c r="G430" s="11"/>
    </row>
    <row r="431" spans="1:7" x14ac:dyDescent="0.2">
      <c r="A431" s="10" t="s">
        <v>11</v>
      </c>
      <c r="B431" s="10" t="s">
        <v>288</v>
      </c>
      <c r="C431" s="10">
        <v>4</v>
      </c>
      <c r="D431" s="10">
        <v>1</v>
      </c>
      <c r="E431" s="10">
        <v>0.3</v>
      </c>
      <c r="F431" s="10">
        <v>54855.058949999999</v>
      </c>
      <c r="G431" s="10">
        <v>21.1743581660266</v>
      </c>
    </row>
    <row r="432" spans="1:7" x14ac:dyDescent="0.2">
      <c r="A432" s="10" t="s">
        <v>11</v>
      </c>
      <c r="B432" s="10" t="s">
        <v>288</v>
      </c>
      <c r="C432" s="10">
        <v>6</v>
      </c>
      <c r="D432" s="10">
        <v>2</v>
      </c>
      <c r="E432" s="10">
        <v>0.3</v>
      </c>
      <c r="F432" s="10">
        <v>103388.947699999</v>
      </c>
      <c r="G432" s="10">
        <v>25.772834041999801</v>
      </c>
    </row>
    <row r="433" spans="1:7" x14ac:dyDescent="0.2">
      <c r="A433" s="10" t="s">
        <v>11</v>
      </c>
      <c r="B433" s="10" t="s">
        <v>288</v>
      </c>
      <c r="C433" s="10">
        <v>8</v>
      </c>
      <c r="D433" s="10">
        <v>3</v>
      </c>
      <c r="E433" s="10">
        <v>0.3</v>
      </c>
      <c r="F433" s="10">
        <v>139888.28015000001</v>
      </c>
      <c r="G433" s="10">
        <v>28.2918351249827</v>
      </c>
    </row>
    <row r="434" spans="1:7" x14ac:dyDescent="0.2">
      <c r="A434" s="10" t="s">
        <v>11</v>
      </c>
      <c r="B434" s="10" t="s">
        <v>288</v>
      </c>
      <c r="C434" s="10">
        <v>10</v>
      </c>
      <c r="D434" s="10">
        <v>3</v>
      </c>
      <c r="E434" s="10">
        <v>0.3</v>
      </c>
      <c r="F434" s="10">
        <v>167896.38719999901</v>
      </c>
      <c r="G434" s="10">
        <v>89.095633666991404</v>
      </c>
    </row>
    <row r="435" spans="1:7" x14ac:dyDescent="0.2">
      <c r="A435" s="10" t="s">
        <v>11</v>
      </c>
      <c r="B435" s="10" t="s">
        <v>288</v>
      </c>
      <c r="C435" s="10">
        <v>12</v>
      </c>
      <c r="D435" s="10">
        <v>4</v>
      </c>
      <c r="E435" s="10">
        <v>0.3</v>
      </c>
      <c r="F435" s="10">
        <v>193915.68379999901</v>
      </c>
      <c r="G435" s="10">
        <v>267.98170508298699</v>
      </c>
    </row>
    <row r="436" spans="1:7" x14ac:dyDescent="0.2">
      <c r="A436" s="10" t="s">
        <v>11</v>
      </c>
      <c r="B436" s="10" t="s">
        <v>288</v>
      </c>
      <c r="C436" s="10">
        <v>14</v>
      </c>
      <c r="D436" s="10">
        <v>4</v>
      </c>
      <c r="E436" s="10">
        <v>0.3</v>
      </c>
      <c r="F436" s="10">
        <v>210587.12590000001</v>
      </c>
      <c r="G436" s="10">
        <v>449.47010608401598</v>
      </c>
    </row>
    <row r="437" spans="1:7" x14ac:dyDescent="0.2">
      <c r="A437" s="10" t="s">
        <v>11</v>
      </c>
      <c r="B437" s="10" t="s">
        <v>288</v>
      </c>
      <c r="C437" s="10">
        <v>16</v>
      </c>
      <c r="D437" s="10">
        <v>5</v>
      </c>
      <c r="E437" s="10">
        <v>0.3</v>
      </c>
      <c r="F437" s="10">
        <v>234140.21004999999</v>
      </c>
      <c r="G437" s="10">
        <v>2061.485062833</v>
      </c>
    </row>
    <row r="438" spans="1:7" x14ac:dyDescent="0.2">
      <c r="A438" s="10" t="s">
        <v>11</v>
      </c>
      <c r="B438" s="10" t="s">
        <v>288</v>
      </c>
      <c r="C438" s="10">
        <v>18</v>
      </c>
      <c r="D438" s="10">
        <v>5</v>
      </c>
      <c r="E438" s="10">
        <v>0.3</v>
      </c>
      <c r="F438" s="10" t="s">
        <v>15</v>
      </c>
      <c r="G438" s="10" t="s">
        <v>32</v>
      </c>
    </row>
    <row r="439" spans="1:7" x14ac:dyDescent="0.2">
      <c r="A439" s="10" t="s">
        <v>11</v>
      </c>
      <c r="B439" s="10" t="s">
        <v>288</v>
      </c>
      <c r="C439" s="10">
        <v>20</v>
      </c>
      <c r="D439" s="10">
        <v>6</v>
      </c>
      <c r="E439" s="10">
        <v>0.3</v>
      </c>
      <c r="F439" s="10" t="s">
        <v>15</v>
      </c>
      <c r="G439" s="10" t="s">
        <v>32</v>
      </c>
    </row>
    <row r="440" spans="1:7" x14ac:dyDescent="0.2">
      <c r="A440" s="10" t="s">
        <v>11</v>
      </c>
      <c r="B440" s="10" t="s">
        <v>288</v>
      </c>
      <c r="C440" s="10">
        <v>22</v>
      </c>
      <c r="D440" s="10">
        <v>7</v>
      </c>
      <c r="E440" s="10">
        <v>0.3</v>
      </c>
      <c r="F440" s="10" t="s">
        <v>15</v>
      </c>
      <c r="G440" s="10" t="s">
        <v>32</v>
      </c>
    </row>
    <row r="441" spans="1:7" x14ac:dyDescent="0.2">
      <c r="A441" s="10"/>
      <c r="B441" s="10"/>
      <c r="C441" s="10"/>
      <c r="D441" s="10"/>
      <c r="E441" s="10"/>
      <c r="F441" s="11"/>
      <c r="G441" s="11"/>
    </row>
    <row r="442" spans="1:7" x14ac:dyDescent="0.2">
      <c r="A442" s="10" t="s">
        <v>12</v>
      </c>
      <c r="B442" s="10" t="s">
        <v>288</v>
      </c>
      <c r="C442" s="10">
        <v>4</v>
      </c>
      <c r="D442" s="10">
        <v>2</v>
      </c>
      <c r="E442" s="10">
        <v>1</v>
      </c>
      <c r="F442" s="10">
        <v>55719.228055</v>
      </c>
      <c r="G442" s="10">
        <v>16.6174197090149</v>
      </c>
    </row>
    <row r="443" spans="1:7" x14ac:dyDescent="0.2">
      <c r="A443" s="10" t="s">
        <v>12</v>
      </c>
      <c r="B443" s="10" t="s">
        <v>288</v>
      </c>
      <c r="C443" s="10">
        <v>6</v>
      </c>
      <c r="D443" s="10">
        <v>2</v>
      </c>
      <c r="E443" s="10">
        <v>1</v>
      </c>
      <c r="F443" s="10">
        <v>68436.335999999996</v>
      </c>
      <c r="G443" s="10">
        <v>23.198062374984101</v>
      </c>
    </row>
    <row r="444" spans="1:7" x14ac:dyDescent="0.2">
      <c r="A444" s="10" t="s">
        <v>12</v>
      </c>
      <c r="B444" s="10" t="s">
        <v>288</v>
      </c>
      <c r="C444" s="10">
        <v>8</v>
      </c>
      <c r="D444" s="10">
        <v>3</v>
      </c>
      <c r="E444" s="10">
        <v>1</v>
      </c>
      <c r="F444" s="10">
        <v>107375.820109999</v>
      </c>
      <c r="G444" s="10">
        <v>28.910651582991701</v>
      </c>
    </row>
    <row r="445" spans="1:7" x14ac:dyDescent="0.2">
      <c r="A445" s="10" t="s">
        <v>12</v>
      </c>
      <c r="B445" s="10" t="s">
        <v>288</v>
      </c>
      <c r="C445" s="10">
        <v>10</v>
      </c>
      <c r="D445" s="10">
        <v>3</v>
      </c>
      <c r="E445" s="10">
        <v>1</v>
      </c>
      <c r="F445" s="10">
        <v>127845.888054999</v>
      </c>
      <c r="G445" s="10">
        <v>36.902154792012801</v>
      </c>
    </row>
    <row r="446" spans="1:7" x14ac:dyDescent="0.2">
      <c r="A446" s="10" t="s">
        <v>12</v>
      </c>
      <c r="B446" s="10" t="s">
        <v>288</v>
      </c>
      <c r="C446" s="10">
        <v>12</v>
      </c>
      <c r="D446" s="10">
        <v>4</v>
      </c>
      <c r="E446" s="10">
        <v>1</v>
      </c>
      <c r="F446" s="10">
        <v>142512.22810999901</v>
      </c>
      <c r="G446" s="10">
        <v>62.7582841659896</v>
      </c>
    </row>
    <row r="447" spans="1:7" x14ac:dyDescent="0.2">
      <c r="A447" s="10" t="s">
        <v>12</v>
      </c>
      <c r="B447" s="10" t="s">
        <v>288</v>
      </c>
      <c r="C447" s="10">
        <v>14</v>
      </c>
      <c r="D447" s="10">
        <v>4</v>
      </c>
      <c r="E447" s="10">
        <v>1</v>
      </c>
      <c r="F447" s="10">
        <v>148294.02010999899</v>
      </c>
      <c r="G447" s="10">
        <v>346.01938270800702</v>
      </c>
    </row>
    <row r="448" spans="1:7" x14ac:dyDescent="0.2">
      <c r="A448" s="10" t="s">
        <v>12</v>
      </c>
      <c r="B448" s="10" t="s">
        <v>288</v>
      </c>
      <c r="C448" s="10">
        <v>16</v>
      </c>
      <c r="D448" s="10">
        <v>5</v>
      </c>
      <c r="E448" s="10">
        <v>1</v>
      </c>
      <c r="F448" s="10">
        <v>180286.28422</v>
      </c>
      <c r="G448" s="10">
        <v>853.43342241601204</v>
      </c>
    </row>
    <row r="449" spans="1:7" x14ac:dyDescent="0.2">
      <c r="A449" s="10" t="s">
        <v>12</v>
      </c>
      <c r="B449" s="10" t="s">
        <v>288</v>
      </c>
      <c r="C449" s="10">
        <v>18</v>
      </c>
      <c r="D449" s="10">
        <v>5</v>
      </c>
      <c r="E449" s="10">
        <v>1</v>
      </c>
      <c r="F449" s="10" t="s">
        <v>15</v>
      </c>
      <c r="G449" s="10" t="s">
        <v>32</v>
      </c>
    </row>
    <row r="450" spans="1:7" x14ac:dyDescent="0.2">
      <c r="A450" s="10" t="s">
        <v>12</v>
      </c>
      <c r="B450" s="10" t="s">
        <v>288</v>
      </c>
      <c r="C450" s="10">
        <v>20</v>
      </c>
      <c r="D450" s="10">
        <v>6</v>
      </c>
      <c r="E450" s="10">
        <v>1</v>
      </c>
      <c r="F450" s="11" t="s">
        <v>35</v>
      </c>
      <c r="G450" s="11" t="s">
        <v>32</v>
      </c>
    </row>
    <row r="451" spans="1:7" x14ac:dyDescent="0.2">
      <c r="A451" s="10" t="s">
        <v>12</v>
      </c>
      <c r="B451" s="10" t="s">
        <v>288</v>
      </c>
      <c r="C451" s="10">
        <v>22</v>
      </c>
      <c r="D451" s="10">
        <v>7</v>
      </c>
      <c r="E451" s="10">
        <v>1</v>
      </c>
      <c r="F451" s="11" t="s">
        <v>35</v>
      </c>
      <c r="G451" s="11" t="s">
        <v>32</v>
      </c>
    </row>
    <row r="452" spans="1:7" x14ac:dyDescent="0.2">
      <c r="A452" s="10"/>
      <c r="B452" s="10"/>
      <c r="C452" s="10"/>
      <c r="D452" s="10"/>
      <c r="E452" s="10"/>
      <c r="F452" s="11"/>
      <c r="G452" s="11"/>
    </row>
    <row r="453" spans="1:7" x14ac:dyDescent="0.2">
      <c r="A453" s="10" t="s">
        <v>12</v>
      </c>
      <c r="B453" s="10" t="s">
        <v>288</v>
      </c>
      <c r="C453" s="10">
        <v>4</v>
      </c>
      <c r="D453" s="10">
        <v>2</v>
      </c>
      <c r="E453" s="10">
        <v>0.5</v>
      </c>
      <c r="F453" s="10">
        <v>68488.217749999894</v>
      </c>
      <c r="G453" s="10">
        <v>16.444467624998602</v>
      </c>
    </row>
    <row r="454" spans="1:7" x14ac:dyDescent="0.2">
      <c r="A454" s="10" t="s">
        <v>12</v>
      </c>
      <c r="B454" s="10" t="s">
        <v>288</v>
      </c>
      <c r="C454" s="10">
        <v>6</v>
      </c>
      <c r="D454" s="10">
        <v>2</v>
      </c>
      <c r="E454" s="10">
        <v>0.5</v>
      </c>
      <c r="F454" s="10">
        <v>84119.663</v>
      </c>
      <c r="G454" s="10">
        <v>24.788394624978501</v>
      </c>
    </row>
    <row r="455" spans="1:7" x14ac:dyDescent="0.2">
      <c r="A455" s="10" t="s">
        <v>12</v>
      </c>
      <c r="B455" s="10" t="s">
        <v>288</v>
      </c>
      <c r="C455" s="10">
        <v>8</v>
      </c>
      <c r="D455" s="10">
        <v>3</v>
      </c>
      <c r="E455" s="10">
        <v>0.5</v>
      </c>
      <c r="F455" s="10">
        <v>136465.03824999899</v>
      </c>
      <c r="G455" s="10">
        <v>33.030234000005201</v>
      </c>
    </row>
    <row r="456" spans="1:7" x14ac:dyDescent="0.2">
      <c r="A456" s="10" t="s">
        <v>12</v>
      </c>
      <c r="B456" s="10" t="s">
        <v>288</v>
      </c>
      <c r="C456" s="10">
        <v>10</v>
      </c>
      <c r="D456" s="10">
        <v>3</v>
      </c>
      <c r="E456" s="10">
        <v>0.5</v>
      </c>
      <c r="F456" s="10">
        <v>165737.23924999899</v>
      </c>
      <c r="G456" s="10">
        <v>46.650729291985002</v>
      </c>
    </row>
    <row r="457" spans="1:7" x14ac:dyDescent="0.2">
      <c r="A457" s="10" t="s">
        <v>12</v>
      </c>
      <c r="B457" s="10" t="s">
        <v>288</v>
      </c>
      <c r="C457" s="10">
        <v>12</v>
      </c>
      <c r="D457" s="10">
        <v>4</v>
      </c>
      <c r="E457" s="10">
        <v>0.5</v>
      </c>
      <c r="F457" s="10">
        <v>186050.71799999999</v>
      </c>
      <c r="G457" s="10">
        <v>105.219519209</v>
      </c>
    </row>
    <row r="458" spans="1:7" x14ac:dyDescent="0.2">
      <c r="A458" s="10" t="s">
        <v>12</v>
      </c>
      <c r="B458" s="10" t="s">
        <v>288</v>
      </c>
      <c r="C458" s="10">
        <v>14</v>
      </c>
      <c r="D458" s="10">
        <v>4</v>
      </c>
      <c r="E458" s="10">
        <v>0.5</v>
      </c>
      <c r="F458" s="10">
        <v>185952.55674999999</v>
      </c>
      <c r="G458" s="10">
        <v>853.90222754198396</v>
      </c>
    </row>
    <row r="459" spans="1:7" x14ac:dyDescent="0.2">
      <c r="A459" s="10" t="s">
        <v>12</v>
      </c>
      <c r="B459" s="10" t="s">
        <v>288</v>
      </c>
      <c r="C459" s="10">
        <v>16</v>
      </c>
      <c r="D459" s="10">
        <v>5</v>
      </c>
      <c r="E459" s="10">
        <v>0.5</v>
      </c>
      <c r="F459" s="10">
        <v>227677.84349999999</v>
      </c>
      <c r="G459" s="10">
        <v>1345.5037930830099</v>
      </c>
    </row>
    <row r="460" spans="1:7" x14ac:dyDescent="0.2">
      <c r="A460" s="10" t="s">
        <v>12</v>
      </c>
      <c r="B460" s="10" t="s">
        <v>288</v>
      </c>
      <c r="C460" s="10">
        <v>18</v>
      </c>
      <c r="D460" s="10">
        <v>5</v>
      </c>
      <c r="E460" s="10">
        <v>0.5</v>
      </c>
      <c r="F460" s="10" t="s">
        <v>15</v>
      </c>
      <c r="G460" s="10" t="s">
        <v>32</v>
      </c>
    </row>
    <row r="461" spans="1:7" x14ac:dyDescent="0.2">
      <c r="A461" s="10" t="s">
        <v>12</v>
      </c>
      <c r="B461" s="10" t="s">
        <v>288</v>
      </c>
      <c r="C461" s="10">
        <v>20</v>
      </c>
      <c r="D461" s="10">
        <v>6</v>
      </c>
      <c r="E461" s="10">
        <v>0.5</v>
      </c>
      <c r="F461" s="63" t="s">
        <v>15</v>
      </c>
      <c r="G461" s="63" t="s">
        <v>32</v>
      </c>
    </row>
    <row r="462" spans="1:7" x14ac:dyDescent="0.2">
      <c r="A462" s="10" t="s">
        <v>12</v>
      </c>
      <c r="B462" s="10" t="s">
        <v>288</v>
      </c>
      <c r="C462" s="10">
        <v>22</v>
      </c>
      <c r="D462" s="10">
        <v>7</v>
      </c>
      <c r="E462" s="10">
        <v>0.5</v>
      </c>
      <c r="F462" s="63" t="s">
        <v>15</v>
      </c>
      <c r="G462" s="63" t="s">
        <v>32</v>
      </c>
    </row>
    <row r="463" spans="1:7" x14ac:dyDescent="0.2">
      <c r="A463" s="10"/>
      <c r="B463" s="10"/>
      <c r="C463" s="10"/>
      <c r="D463" s="10"/>
      <c r="E463" s="10"/>
      <c r="F463" s="11"/>
      <c r="G463" s="11"/>
    </row>
    <row r="464" spans="1:7" x14ac:dyDescent="0.2">
      <c r="A464" s="10" t="s">
        <v>12</v>
      </c>
      <c r="B464" s="10" t="s">
        <v>288</v>
      </c>
      <c r="C464" s="10">
        <v>4</v>
      </c>
      <c r="D464" s="10">
        <v>2</v>
      </c>
      <c r="E464" s="10">
        <v>0.3</v>
      </c>
      <c r="F464" s="10">
        <v>79231.915150000001</v>
      </c>
      <c r="G464" s="10">
        <v>18.374971874989502</v>
      </c>
    </row>
    <row r="465" spans="1:7" x14ac:dyDescent="0.2">
      <c r="A465" s="10" t="s">
        <v>12</v>
      </c>
      <c r="B465" s="10" t="s">
        <v>288</v>
      </c>
      <c r="C465" s="10">
        <v>6</v>
      </c>
      <c r="D465" s="10">
        <v>2</v>
      </c>
      <c r="E465" s="10">
        <v>0.3</v>
      </c>
      <c r="F465" s="10">
        <v>91576.418199999898</v>
      </c>
      <c r="G465" s="10">
        <v>25.250838459003699</v>
      </c>
    </row>
    <row r="466" spans="1:7" x14ac:dyDescent="0.2">
      <c r="A466" s="10" t="s">
        <v>12</v>
      </c>
      <c r="B466" s="10" t="s">
        <v>288</v>
      </c>
      <c r="C466" s="10">
        <v>8</v>
      </c>
      <c r="D466" s="10">
        <v>3</v>
      </c>
      <c r="E466" s="10">
        <v>0.3</v>
      </c>
      <c r="F466" s="10">
        <v>158793.36764999901</v>
      </c>
      <c r="G466" s="10">
        <v>31.3165241670212</v>
      </c>
    </row>
    <row r="467" spans="1:7" x14ac:dyDescent="0.2">
      <c r="A467" s="10" t="s">
        <v>12</v>
      </c>
      <c r="B467" s="10" t="s">
        <v>288</v>
      </c>
      <c r="C467" s="10">
        <v>10</v>
      </c>
      <c r="D467" s="10">
        <v>3</v>
      </c>
      <c r="E467" s="10">
        <v>0.3</v>
      </c>
      <c r="F467" s="10">
        <v>197160.923749999</v>
      </c>
      <c r="G467" s="10">
        <v>46.472915874997803</v>
      </c>
    </row>
    <row r="468" spans="1:7" x14ac:dyDescent="0.2">
      <c r="A468" s="10" t="s">
        <v>12</v>
      </c>
      <c r="B468" s="10" t="s">
        <v>288</v>
      </c>
      <c r="C468" s="10">
        <v>12</v>
      </c>
      <c r="D468" s="10">
        <v>4</v>
      </c>
      <c r="E468" s="10">
        <v>0.3</v>
      </c>
      <c r="F468" s="10">
        <v>224485.80069999999</v>
      </c>
      <c r="G468" s="10">
        <v>98.455538209003805</v>
      </c>
    </row>
    <row r="469" spans="1:7" x14ac:dyDescent="0.2">
      <c r="A469" s="10" t="s">
        <v>12</v>
      </c>
      <c r="B469" s="10" t="s">
        <v>288</v>
      </c>
      <c r="C469" s="10">
        <v>14</v>
      </c>
      <c r="D469" s="10">
        <v>4</v>
      </c>
      <c r="E469" s="10">
        <v>0.3</v>
      </c>
      <c r="F469" s="10">
        <v>224840.0165</v>
      </c>
      <c r="G469" s="10">
        <v>870.87133145800897</v>
      </c>
    </row>
    <row r="470" spans="1:7" x14ac:dyDescent="0.2">
      <c r="A470" s="10" t="s">
        <v>12</v>
      </c>
      <c r="B470" s="10" t="s">
        <v>288</v>
      </c>
      <c r="C470" s="10">
        <v>16</v>
      </c>
      <c r="D470" s="10">
        <v>5</v>
      </c>
      <c r="E470" s="10">
        <v>0.3</v>
      </c>
      <c r="F470" s="10">
        <v>267080.13969999901</v>
      </c>
      <c r="G470" s="10">
        <v>1150.08056645799</v>
      </c>
    </row>
    <row r="471" spans="1:7" x14ac:dyDescent="0.2">
      <c r="A471" s="10" t="s">
        <v>12</v>
      </c>
      <c r="B471" s="10" t="s">
        <v>288</v>
      </c>
      <c r="C471" s="10">
        <v>18</v>
      </c>
      <c r="D471" s="10">
        <v>5</v>
      </c>
      <c r="E471" s="10">
        <v>0.3</v>
      </c>
      <c r="F471" s="63" t="s">
        <v>15</v>
      </c>
      <c r="G471" s="63" t="s">
        <v>32</v>
      </c>
    </row>
    <row r="472" spans="1:7" x14ac:dyDescent="0.2">
      <c r="A472" s="10" t="s">
        <v>12</v>
      </c>
      <c r="B472" s="10" t="s">
        <v>288</v>
      </c>
      <c r="C472" s="10">
        <v>20</v>
      </c>
      <c r="D472" s="10">
        <v>6</v>
      </c>
      <c r="E472" s="10">
        <v>0.3</v>
      </c>
      <c r="F472" s="63" t="s">
        <v>15</v>
      </c>
      <c r="G472" s="63" t="s">
        <v>32</v>
      </c>
    </row>
    <row r="473" spans="1:7" x14ac:dyDescent="0.2">
      <c r="A473" s="10" t="s">
        <v>12</v>
      </c>
      <c r="B473" s="10" t="s">
        <v>288</v>
      </c>
      <c r="C473" s="10">
        <v>22</v>
      </c>
      <c r="D473" s="10">
        <v>7</v>
      </c>
      <c r="E473" s="10">
        <v>0.3</v>
      </c>
      <c r="F473" s="63" t="s">
        <v>15</v>
      </c>
      <c r="G473" s="63" t="s">
        <v>32</v>
      </c>
    </row>
    <row r="474" spans="1:7" x14ac:dyDescent="0.2">
      <c r="A474" s="10"/>
      <c r="B474" s="10"/>
      <c r="C474" s="10"/>
      <c r="D474" s="10"/>
      <c r="E474" s="10"/>
      <c r="F474" s="11"/>
      <c r="G474" s="11"/>
    </row>
    <row r="475" spans="1:7" x14ac:dyDescent="0.2">
      <c r="A475" s="10" t="s">
        <v>13</v>
      </c>
      <c r="B475" s="10" t="s">
        <v>288</v>
      </c>
      <c r="C475" s="10">
        <v>4</v>
      </c>
      <c r="D475" s="10">
        <v>2</v>
      </c>
      <c r="E475" s="10">
        <v>1</v>
      </c>
      <c r="F475" s="10">
        <v>62281.812055000002</v>
      </c>
      <c r="G475" s="10">
        <v>16.198478582984499</v>
      </c>
    </row>
    <row r="476" spans="1:7" x14ac:dyDescent="0.2">
      <c r="A476" s="10" t="s">
        <v>13</v>
      </c>
      <c r="B476" s="10" t="s">
        <v>288</v>
      </c>
      <c r="C476" s="10">
        <v>6</v>
      </c>
      <c r="D476" s="10">
        <v>3</v>
      </c>
      <c r="E476" s="10">
        <v>1</v>
      </c>
      <c r="F476" s="10">
        <v>94057.368219999902</v>
      </c>
      <c r="G476" s="10">
        <v>21.8320733339933</v>
      </c>
    </row>
    <row r="477" spans="1:7" x14ac:dyDescent="0.2">
      <c r="A477" s="10" t="s">
        <v>13</v>
      </c>
      <c r="B477" s="10" t="s">
        <v>288</v>
      </c>
      <c r="C477" s="10">
        <v>8</v>
      </c>
      <c r="D477" s="10">
        <v>3</v>
      </c>
      <c r="E477" s="10">
        <v>1</v>
      </c>
      <c r="F477" s="10">
        <v>115277.04011</v>
      </c>
      <c r="G477" s="10">
        <v>26.947245624993201</v>
      </c>
    </row>
    <row r="478" spans="1:7" x14ac:dyDescent="0.2">
      <c r="A478" s="10" t="s">
        <v>13</v>
      </c>
      <c r="B478" s="10" t="s">
        <v>288</v>
      </c>
      <c r="C478" s="10">
        <v>10</v>
      </c>
      <c r="D478" s="10">
        <v>4</v>
      </c>
      <c r="E478" s="10">
        <v>1</v>
      </c>
      <c r="F478" s="10">
        <v>132866.60421999899</v>
      </c>
      <c r="G478" s="10">
        <v>33.866987499990501</v>
      </c>
    </row>
    <row r="479" spans="1:7" x14ac:dyDescent="0.2">
      <c r="A479" s="10" t="s">
        <v>13</v>
      </c>
      <c r="B479" s="10" t="s">
        <v>288</v>
      </c>
      <c r="C479" s="10">
        <v>12</v>
      </c>
      <c r="D479" s="10">
        <v>4</v>
      </c>
      <c r="E479" s="10">
        <v>1</v>
      </c>
      <c r="F479" s="10">
        <v>152307.10810999901</v>
      </c>
      <c r="G479" s="10">
        <v>45.338995707978</v>
      </c>
    </row>
    <row r="480" spans="1:7" x14ac:dyDescent="0.2">
      <c r="A480" s="10" t="s">
        <v>13</v>
      </c>
      <c r="B480" s="10" t="s">
        <v>288</v>
      </c>
      <c r="C480" s="10">
        <v>14</v>
      </c>
      <c r="D480" s="10">
        <v>5</v>
      </c>
      <c r="E480" s="10">
        <v>1</v>
      </c>
      <c r="F480" s="10">
        <v>176633.96410999901</v>
      </c>
      <c r="G480" s="10">
        <v>76.9485491669911</v>
      </c>
    </row>
    <row r="481" spans="1:7" x14ac:dyDescent="0.2">
      <c r="A481" s="10" t="s">
        <v>13</v>
      </c>
      <c r="B481" s="10" t="s">
        <v>288</v>
      </c>
      <c r="C481" s="10">
        <v>16</v>
      </c>
      <c r="D481" s="10">
        <v>5</v>
      </c>
      <c r="E481" s="10">
        <v>1</v>
      </c>
      <c r="F481" s="10">
        <v>183012.75610999999</v>
      </c>
      <c r="G481" s="10">
        <v>359.82374079199502</v>
      </c>
    </row>
    <row r="482" spans="1:7" x14ac:dyDescent="0.2">
      <c r="A482" s="10" t="s">
        <v>13</v>
      </c>
      <c r="B482" s="10" t="s">
        <v>288</v>
      </c>
      <c r="C482" s="10">
        <v>18</v>
      </c>
      <c r="D482" s="10">
        <v>6</v>
      </c>
      <c r="E482" s="10">
        <v>1</v>
      </c>
      <c r="F482" s="10">
        <v>199826.18416500001</v>
      </c>
      <c r="G482" s="10">
        <v>5295.3246880829902</v>
      </c>
    </row>
    <row r="483" spans="1:7" x14ac:dyDescent="0.2">
      <c r="A483" s="10" t="s">
        <v>13</v>
      </c>
      <c r="B483" s="10" t="s">
        <v>288</v>
      </c>
      <c r="C483" s="10">
        <v>20</v>
      </c>
      <c r="D483" s="10">
        <v>6</v>
      </c>
      <c r="E483" s="10">
        <v>1</v>
      </c>
      <c r="F483" s="63" t="s">
        <v>15</v>
      </c>
      <c r="G483" s="63" t="s">
        <v>32</v>
      </c>
    </row>
    <row r="484" spans="1:7" x14ac:dyDescent="0.2">
      <c r="A484" s="10" t="s">
        <v>13</v>
      </c>
      <c r="B484" s="10" t="s">
        <v>288</v>
      </c>
      <c r="C484" s="10">
        <v>22</v>
      </c>
      <c r="D484" s="10">
        <v>7</v>
      </c>
      <c r="E484" s="10">
        <v>1</v>
      </c>
      <c r="F484" s="63" t="s">
        <v>15</v>
      </c>
      <c r="G484" s="63" t="s">
        <v>32</v>
      </c>
    </row>
    <row r="485" spans="1:7" x14ac:dyDescent="0.2">
      <c r="A485" s="10"/>
      <c r="B485" s="10"/>
      <c r="C485" s="10"/>
      <c r="D485" s="10"/>
      <c r="E485" s="10"/>
      <c r="F485" s="11"/>
      <c r="G485" s="11"/>
    </row>
    <row r="486" spans="1:7" x14ac:dyDescent="0.2">
      <c r="A486" s="10" t="s">
        <v>13</v>
      </c>
      <c r="B486" s="10" t="s">
        <v>288</v>
      </c>
      <c r="C486" s="10">
        <v>4</v>
      </c>
      <c r="D486" s="10">
        <v>2</v>
      </c>
      <c r="E486" s="10">
        <v>0.5</v>
      </c>
      <c r="F486" s="10">
        <v>76692.344749999902</v>
      </c>
      <c r="G486" s="10">
        <v>15.0985609999916</v>
      </c>
    </row>
    <row r="487" spans="1:7" x14ac:dyDescent="0.2">
      <c r="A487" s="10" t="s">
        <v>13</v>
      </c>
      <c r="B487" s="10" t="s">
        <v>288</v>
      </c>
      <c r="C487" s="10">
        <v>6</v>
      </c>
      <c r="D487" s="10">
        <v>3</v>
      </c>
      <c r="E487" s="10">
        <v>0.5</v>
      </c>
      <c r="F487" s="10">
        <v>128975.51924999899</v>
      </c>
      <c r="G487" s="10">
        <v>24.569550583982998</v>
      </c>
    </row>
    <row r="488" spans="1:7" x14ac:dyDescent="0.2">
      <c r="A488" s="10" t="s">
        <v>13</v>
      </c>
      <c r="B488" s="10" t="s">
        <v>288</v>
      </c>
      <c r="C488" s="10">
        <v>8</v>
      </c>
      <c r="D488" s="10">
        <v>3</v>
      </c>
      <c r="E488" s="10">
        <v>0.5</v>
      </c>
      <c r="F488" s="10">
        <v>146377.42174999899</v>
      </c>
      <c r="G488" s="10">
        <v>28.806364707998</v>
      </c>
    </row>
    <row r="489" spans="1:7" x14ac:dyDescent="0.2">
      <c r="A489" s="10" t="s">
        <v>13</v>
      </c>
      <c r="B489" s="10" t="s">
        <v>288</v>
      </c>
      <c r="C489" s="10">
        <v>10</v>
      </c>
      <c r="D489" s="10">
        <v>4</v>
      </c>
      <c r="E489" s="10">
        <v>0.5</v>
      </c>
      <c r="F489" s="10">
        <v>170174.408</v>
      </c>
      <c r="G489" s="10">
        <v>40.0804634579981</v>
      </c>
    </row>
    <row r="490" spans="1:7" x14ac:dyDescent="0.2">
      <c r="A490" s="10" t="s">
        <v>13</v>
      </c>
      <c r="B490" s="10" t="s">
        <v>288</v>
      </c>
      <c r="C490" s="10">
        <v>12</v>
      </c>
      <c r="D490" s="10">
        <v>4</v>
      </c>
      <c r="E490" s="10">
        <v>0.5</v>
      </c>
      <c r="F490" s="10">
        <v>197472.23299999899</v>
      </c>
      <c r="G490" s="10">
        <v>78.168775208003296</v>
      </c>
    </row>
    <row r="491" spans="1:7" x14ac:dyDescent="0.2">
      <c r="A491" s="10" t="s">
        <v>13</v>
      </c>
      <c r="B491" s="10" t="s">
        <v>288</v>
      </c>
      <c r="C491" s="10">
        <v>14</v>
      </c>
      <c r="D491" s="10">
        <v>5</v>
      </c>
      <c r="E491" s="10">
        <v>0.5</v>
      </c>
      <c r="F491" s="10">
        <v>222581.821749986</v>
      </c>
      <c r="G491" s="10">
        <v>160.949017542006</v>
      </c>
    </row>
    <row r="492" spans="1:7" x14ac:dyDescent="0.2">
      <c r="A492" s="10" t="s">
        <v>13</v>
      </c>
      <c r="B492" s="10" t="s">
        <v>288</v>
      </c>
      <c r="C492" s="10">
        <v>16</v>
      </c>
      <c r="D492" s="10">
        <v>5</v>
      </c>
      <c r="E492" s="10">
        <v>0.5</v>
      </c>
      <c r="F492" s="10">
        <v>232574.07649999901</v>
      </c>
      <c r="G492" s="10">
        <v>847.76200633301005</v>
      </c>
    </row>
    <row r="493" spans="1:7" x14ac:dyDescent="0.2">
      <c r="A493" s="10" t="s">
        <v>13</v>
      </c>
      <c r="B493" s="10" t="s">
        <v>288</v>
      </c>
      <c r="C493" s="10">
        <v>18</v>
      </c>
      <c r="D493" s="10">
        <v>6</v>
      </c>
      <c r="E493" s="10">
        <v>0.5</v>
      </c>
      <c r="F493" s="10">
        <v>255728.434749999</v>
      </c>
      <c r="G493" s="10">
        <v>6226.7822444169997</v>
      </c>
    </row>
    <row r="494" spans="1:7" x14ac:dyDescent="0.2">
      <c r="A494" s="10" t="s">
        <v>13</v>
      </c>
      <c r="B494" s="10" t="s">
        <v>288</v>
      </c>
      <c r="C494" s="10">
        <v>20</v>
      </c>
      <c r="D494" s="10">
        <v>6</v>
      </c>
      <c r="E494" s="10">
        <v>0.5</v>
      </c>
      <c r="F494" s="63" t="s">
        <v>15</v>
      </c>
      <c r="G494" s="63" t="s">
        <v>32</v>
      </c>
    </row>
    <row r="495" spans="1:7" x14ac:dyDescent="0.2">
      <c r="A495" s="10" t="s">
        <v>13</v>
      </c>
      <c r="B495" s="10" t="s">
        <v>288</v>
      </c>
      <c r="C495" s="10">
        <v>22</v>
      </c>
      <c r="D495" s="10">
        <v>7</v>
      </c>
      <c r="E495" s="10">
        <v>0.5</v>
      </c>
      <c r="F495" s="63" t="s">
        <v>15</v>
      </c>
      <c r="G495" s="63" t="s">
        <v>32</v>
      </c>
    </row>
    <row r="496" spans="1:7" x14ac:dyDescent="0.2">
      <c r="A496" s="10"/>
      <c r="B496" s="10"/>
      <c r="C496" s="10"/>
      <c r="D496" s="10"/>
      <c r="E496" s="10"/>
      <c r="F496" s="11"/>
      <c r="G496" s="11"/>
    </row>
    <row r="497" spans="1:7" x14ac:dyDescent="0.2">
      <c r="A497" s="10" t="s">
        <v>13</v>
      </c>
      <c r="B497" s="10" t="s">
        <v>288</v>
      </c>
      <c r="C497" s="10">
        <v>4</v>
      </c>
      <c r="D497" s="10" t="s">
        <v>28</v>
      </c>
      <c r="E497" s="10">
        <v>0.3</v>
      </c>
      <c r="F497" s="11" t="s">
        <v>15</v>
      </c>
      <c r="G497" s="10">
        <v>14.070536332990701</v>
      </c>
    </row>
    <row r="498" spans="1:7" x14ac:dyDescent="0.2">
      <c r="A498" s="10" t="s">
        <v>13</v>
      </c>
      <c r="B498" s="10" t="s">
        <v>288</v>
      </c>
      <c r="C498" s="10">
        <v>6</v>
      </c>
      <c r="D498" s="10" t="s">
        <v>25</v>
      </c>
      <c r="E498" s="10">
        <v>0.3</v>
      </c>
      <c r="F498" s="11" t="s">
        <v>15</v>
      </c>
      <c r="G498" s="10">
        <v>18.4089990840002</v>
      </c>
    </row>
    <row r="499" spans="1:7" x14ac:dyDescent="0.2">
      <c r="A499" s="10" t="s">
        <v>13</v>
      </c>
      <c r="B499" s="10" t="s">
        <v>288</v>
      </c>
      <c r="C499" s="10">
        <v>8</v>
      </c>
      <c r="D499" s="10">
        <v>3</v>
      </c>
      <c r="E499" s="10">
        <v>0.3</v>
      </c>
      <c r="F499" s="11" t="s">
        <v>15</v>
      </c>
      <c r="G499" s="10">
        <v>38.266515249997603</v>
      </c>
    </row>
    <row r="500" spans="1:7" x14ac:dyDescent="0.2">
      <c r="A500" s="10" t="s">
        <v>13</v>
      </c>
      <c r="B500" s="10" t="s">
        <v>288</v>
      </c>
      <c r="C500" s="10">
        <v>10</v>
      </c>
      <c r="D500" s="10">
        <v>4</v>
      </c>
      <c r="E500" s="10">
        <v>0.3</v>
      </c>
      <c r="F500" s="10">
        <v>204910.74954999899</v>
      </c>
      <c r="G500" s="10">
        <v>43.379263165988903</v>
      </c>
    </row>
    <row r="501" spans="1:7" x14ac:dyDescent="0.2">
      <c r="A501" s="10" t="s">
        <v>13</v>
      </c>
      <c r="B501" s="10" t="s">
        <v>288</v>
      </c>
      <c r="C501" s="10">
        <v>12</v>
      </c>
      <c r="D501" s="10">
        <v>4</v>
      </c>
      <c r="E501" s="10">
        <v>0.3</v>
      </c>
      <c r="F501" s="10">
        <v>255712.77329999901</v>
      </c>
      <c r="G501" s="10">
        <v>70.242886459018294</v>
      </c>
    </row>
    <row r="502" spans="1:7" x14ac:dyDescent="0.2">
      <c r="A502" s="10" t="s">
        <v>13</v>
      </c>
      <c r="B502" s="10" t="s">
        <v>288</v>
      </c>
      <c r="C502" s="10">
        <v>14</v>
      </c>
      <c r="D502" s="10">
        <v>5</v>
      </c>
      <c r="E502" s="10">
        <v>0.3</v>
      </c>
      <c r="F502" s="10">
        <v>265366.18409999798</v>
      </c>
      <c r="G502" s="10">
        <v>146.73961400002</v>
      </c>
    </row>
    <row r="503" spans="1:7" x14ac:dyDescent="0.2">
      <c r="A503" s="10" t="s">
        <v>13</v>
      </c>
      <c r="B503" s="10" t="s">
        <v>288</v>
      </c>
      <c r="C503" s="10">
        <v>16</v>
      </c>
      <c r="D503" s="10">
        <v>5</v>
      </c>
      <c r="E503" s="10">
        <v>0.3</v>
      </c>
      <c r="F503" s="10">
        <v>284519.19729999901</v>
      </c>
      <c r="G503" s="10">
        <v>738.25537437500304</v>
      </c>
    </row>
    <row r="504" spans="1:7" x14ac:dyDescent="0.2">
      <c r="A504" s="10" t="s">
        <v>13</v>
      </c>
      <c r="B504" s="10" t="s">
        <v>288</v>
      </c>
      <c r="C504" s="10">
        <v>18</v>
      </c>
      <c r="D504" s="10">
        <v>6</v>
      </c>
      <c r="E504" s="10">
        <v>0.3</v>
      </c>
      <c r="F504" s="10">
        <v>307394.75735000003</v>
      </c>
      <c r="G504" s="10">
        <v>5050.2621983749796</v>
      </c>
    </row>
    <row r="505" spans="1:7" x14ac:dyDescent="0.2">
      <c r="A505" s="10" t="s">
        <v>13</v>
      </c>
      <c r="B505" s="10" t="s">
        <v>288</v>
      </c>
      <c r="C505" s="10">
        <v>20</v>
      </c>
      <c r="D505" s="10">
        <v>6</v>
      </c>
      <c r="E505" s="10">
        <v>0.3</v>
      </c>
      <c r="F505" s="63" t="s">
        <v>15</v>
      </c>
      <c r="G505" s="63" t="s">
        <v>32</v>
      </c>
    </row>
    <row r="506" spans="1:7" x14ac:dyDescent="0.2">
      <c r="A506" s="10" t="s">
        <v>13</v>
      </c>
      <c r="B506" s="10" t="s">
        <v>288</v>
      </c>
      <c r="C506" s="10">
        <v>22</v>
      </c>
      <c r="D506" s="10">
        <v>7</v>
      </c>
      <c r="E506" s="10">
        <v>0.3</v>
      </c>
      <c r="F506" s="63" t="s">
        <v>15</v>
      </c>
      <c r="G506" s="63" t="s">
        <v>32</v>
      </c>
    </row>
    <row r="507" spans="1:7" x14ac:dyDescent="0.2">
      <c r="A507" s="10"/>
      <c r="B507" s="10"/>
      <c r="C507" s="10"/>
      <c r="D507" s="10"/>
      <c r="E507" s="10"/>
      <c r="F507" s="11"/>
      <c r="G507" s="11"/>
    </row>
    <row r="508" spans="1:7" x14ac:dyDescent="0.2">
      <c r="A508" s="10"/>
      <c r="B508" s="10"/>
      <c r="C508" s="10"/>
      <c r="D508" s="10"/>
      <c r="E508" s="10"/>
      <c r="F508" s="11"/>
      <c r="G508" s="11"/>
    </row>
    <row r="509" spans="1:7" x14ac:dyDescent="0.2">
      <c r="A509" s="10"/>
      <c r="B509" s="10"/>
      <c r="C509" s="10"/>
      <c r="D509" s="10"/>
      <c r="E509" s="10"/>
      <c r="F509" s="11"/>
      <c r="G509" s="11"/>
    </row>
    <row r="510" spans="1:7" x14ac:dyDescent="0.2">
      <c r="A510" s="10"/>
      <c r="B510" s="10"/>
      <c r="C510" s="10"/>
      <c r="D510" s="10"/>
      <c r="E510" s="10"/>
      <c r="F510" s="11"/>
      <c r="G510" s="11"/>
    </row>
    <row r="511" spans="1:7" x14ac:dyDescent="0.2">
      <c r="A511" s="10"/>
      <c r="B511" s="10"/>
      <c r="C511" s="10"/>
      <c r="D511" s="10"/>
      <c r="E511" s="10"/>
      <c r="F511" s="11"/>
      <c r="G511" s="11"/>
    </row>
    <row r="512" spans="1:7" x14ac:dyDescent="0.2">
      <c r="A512" s="10"/>
      <c r="B512" s="10"/>
      <c r="C512" s="10"/>
      <c r="D512" s="10"/>
      <c r="E512" s="10"/>
      <c r="F512" s="10"/>
      <c r="G512" s="10"/>
    </row>
    <row r="513" spans="1:7" x14ac:dyDescent="0.2">
      <c r="A513" s="10"/>
      <c r="B513" s="10"/>
      <c r="C513" s="10"/>
      <c r="D513" s="10"/>
      <c r="E513" s="10"/>
      <c r="F513" s="10"/>
      <c r="G513" s="10"/>
    </row>
    <row r="514" spans="1:7" x14ac:dyDescent="0.2">
      <c r="A514" s="10"/>
      <c r="B514" s="10"/>
      <c r="C514" s="10"/>
      <c r="D514" s="10"/>
      <c r="E514" s="10"/>
      <c r="F514" s="10"/>
      <c r="G514" s="10"/>
    </row>
    <row r="515" spans="1:7" x14ac:dyDescent="0.2">
      <c r="A515" s="10"/>
      <c r="B515" s="10"/>
      <c r="C515" s="10"/>
      <c r="D515" s="10"/>
      <c r="E515" s="10"/>
      <c r="F515" s="10"/>
      <c r="G515" s="10"/>
    </row>
    <row r="516" spans="1:7" x14ac:dyDescent="0.2">
      <c r="A516" s="10"/>
      <c r="B516" s="10"/>
      <c r="C516" s="10"/>
      <c r="D516" s="10"/>
      <c r="E516" s="10"/>
      <c r="F516" s="10"/>
      <c r="G516" s="10"/>
    </row>
    <row r="517" spans="1:7" x14ac:dyDescent="0.2">
      <c r="A517" s="10"/>
      <c r="B517" s="10"/>
      <c r="C517" s="10"/>
      <c r="D517" s="10"/>
      <c r="E517" s="10"/>
      <c r="F517" s="10"/>
      <c r="G517" s="10"/>
    </row>
    <row r="518" spans="1:7" x14ac:dyDescent="0.2">
      <c r="A518" s="10"/>
      <c r="B518" s="10"/>
      <c r="C518" s="10"/>
      <c r="D518" s="10"/>
      <c r="E518" s="10"/>
      <c r="F518" s="10"/>
      <c r="G518" s="10"/>
    </row>
    <row r="519" spans="1:7" x14ac:dyDescent="0.2">
      <c r="A519" s="10"/>
      <c r="B519" s="10"/>
      <c r="C519" s="10"/>
      <c r="D519" s="10"/>
      <c r="E519" s="10"/>
      <c r="F519" s="10"/>
      <c r="G519" s="10"/>
    </row>
    <row r="520" spans="1:7" x14ac:dyDescent="0.2">
      <c r="A520" s="10"/>
      <c r="B520" s="10"/>
      <c r="C520" s="10"/>
      <c r="D520" s="10"/>
      <c r="E520" s="10"/>
      <c r="F520" s="10"/>
      <c r="G520" s="10"/>
    </row>
    <row r="521" spans="1:7" x14ac:dyDescent="0.2">
      <c r="A521" s="10"/>
      <c r="B521" s="10"/>
      <c r="C521" s="10"/>
      <c r="D521" s="10"/>
      <c r="E521" s="10"/>
      <c r="F521" s="10"/>
      <c r="G521" s="10"/>
    </row>
    <row r="522" spans="1:7" x14ac:dyDescent="0.2">
      <c r="A522" s="10"/>
      <c r="B522" s="10"/>
      <c r="C522" s="10"/>
      <c r="D522" s="10"/>
      <c r="E522" s="10"/>
      <c r="F522" s="10"/>
      <c r="G522" s="10"/>
    </row>
    <row r="523" spans="1:7" x14ac:dyDescent="0.2">
      <c r="A523" s="10"/>
      <c r="B523" s="10"/>
      <c r="C523" s="10"/>
      <c r="D523" s="10"/>
      <c r="E523" s="10"/>
      <c r="F523" s="10"/>
      <c r="G523" s="10"/>
    </row>
    <row r="524" spans="1:7" x14ac:dyDescent="0.2">
      <c r="A524" s="10"/>
      <c r="B524" s="10"/>
      <c r="C524" s="10"/>
      <c r="D524" s="10"/>
      <c r="E524" s="10"/>
      <c r="F524" s="10"/>
      <c r="G524" s="10"/>
    </row>
    <row r="525" spans="1:7" x14ac:dyDescent="0.2">
      <c r="A525" s="10"/>
      <c r="B525" s="10"/>
      <c r="C525" s="10"/>
      <c r="D525" s="10"/>
      <c r="E525" s="10"/>
      <c r="F525" s="10"/>
      <c r="G525" s="10"/>
    </row>
    <row r="526" spans="1:7" x14ac:dyDescent="0.2">
      <c r="A526" s="10"/>
      <c r="B526" s="10"/>
      <c r="C526" s="10"/>
      <c r="D526" s="10"/>
      <c r="E526" s="10"/>
      <c r="F526" s="10"/>
      <c r="G526" s="10"/>
    </row>
    <row r="527" spans="1:7" x14ac:dyDescent="0.2">
      <c r="A527" s="10"/>
      <c r="B527" s="10"/>
      <c r="C527" s="10"/>
      <c r="D527" s="10"/>
      <c r="E527" s="10"/>
      <c r="F527" s="10"/>
      <c r="G527" s="10"/>
    </row>
    <row r="528" spans="1:7" x14ac:dyDescent="0.2">
      <c r="A528" s="10"/>
      <c r="B528" s="10"/>
      <c r="C528" s="10"/>
      <c r="D528" s="10"/>
      <c r="E528" s="10"/>
      <c r="F528" s="10"/>
      <c r="G528" s="10"/>
    </row>
    <row r="529" spans="1:7" x14ac:dyDescent="0.2">
      <c r="A529" s="10"/>
      <c r="B529" s="10"/>
      <c r="C529" s="10"/>
      <c r="D529" s="10"/>
      <c r="E529" s="10"/>
      <c r="F529" s="10"/>
      <c r="G529" s="10"/>
    </row>
    <row r="530" spans="1:7" x14ac:dyDescent="0.2">
      <c r="A530" s="10"/>
      <c r="B530" s="10"/>
      <c r="C530" s="10"/>
      <c r="D530" s="10"/>
      <c r="E530" s="10"/>
      <c r="F530" s="10"/>
      <c r="G530" s="10"/>
    </row>
    <row r="531" spans="1:7" x14ac:dyDescent="0.2">
      <c r="A531" s="10"/>
      <c r="B531" s="10"/>
      <c r="C531" s="10"/>
      <c r="D531" s="10"/>
      <c r="E531" s="10"/>
      <c r="F531" s="10"/>
      <c r="G531" s="10"/>
    </row>
    <row r="532" spans="1:7" x14ac:dyDescent="0.2">
      <c r="A532" s="10"/>
      <c r="B532" s="10"/>
      <c r="C532" s="10"/>
      <c r="D532" s="10"/>
      <c r="E532" s="10"/>
      <c r="F532" s="10"/>
      <c r="G532" s="10"/>
    </row>
    <row r="533" spans="1:7" x14ac:dyDescent="0.2">
      <c r="A533" s="10"/>
      <c r="B533" s="10"/>
      <c r="C533" s="10"/>
      <c r="D533" s="10"/>
      <c r="E533" s="10"/>
      <c r="F533" s="10"/>
      <c r="G533" s="10"/>
    </row>
    <row r="534" spans="1:7" x14ac:dyDescent="0.2">
      <c r="A534" s="10"/>
      <c r="B534" s="10"/>
      <c r="C534" s="10"/>
      <c r="D534" s="10"/>
      <c r="E534" s="10"/>
      <c r="F534" s="10"/>
      <c r="G534" s="10"/>
    </row>
    <row r="535" spans="1:7" x14ac:dyDescent="0.2">
      <c r="A535" s="10"/>
      <c r="B535" s="10"/>
      <c r="C535" s="10"/>
      <c r="D535" s="10"/>
      <c r="E535" s="10"/>
      <c r="F535" s="10"/>
      <c r="G535" s="10"/>
    </row>
    <row r="536" spans="1:7" x14ac:dyDescent="0.2">
      <c r="A536" s="10"/>
      <c r="B536" s="10"/>
      <c r="C536" s="10"/>
      <c r="D536" s="10"/>
      <c r="E536" s="10"/>
      <c r="F536" s="10"/>
      <c r="G536" s="10"/>
    </row>
    <row r="537" spans="1:7" x14ac:dyDescent="0.2">
      <c r="A537" s="10"/>
      <c r="B537" s="10"/>
      <c r="C537" s="10"/>
      <c r="D537" s="10"/>
      <c r="E537" s="10"/>
      <c r="F537" s="10"/>
      <c r="G537" s="10"/>
    </row>
    <row r="538" spans="1:7" x14ac:dyDescent="0.2">
      <c r="A538" s="10"/>
      <c r="B538" s="10"/>
      <c r="C538" s="10"/>
      <c r="D538" s="10"/>
      <c r="E538" s="10"/>
      <c r="F538" s="10"/>
      <c r="G538" s="10"/>
    </row>
    <row r="539" spans="1:7" x14ac:dyDescent="0.2">
      <c r="A539" s="10"/>
      <c r="B539" s="10"/>
      <c r="C539" s="10"/>
      <c r="D539" s="10"/>
      <c r="E539" s="10"/>
      <c r="F539" s="10"/>
      <c r="G539" s="10"/>
    </row>
    <row r="540" spans="1:7" x14ac:dyDescent="0.2">
      <c r="A540" s="10"/>
      <c r="B540" s="10"/>
      <c r="C540" s="10"/>
      <c r="D540" s="10"/>
      <c r="E540" s="10"/>
      <c r="F540" s="10"/>
      <c r="G540" s="10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F5EC3D-C5F6-9449-A0F9-6B7111C68A3E}">
  <dimension ref="A1:U668"/>
  <sheetViews>
    <sheetView zoomScale="75" workbookViewId="0">
      <selection activeCell="A622" sqref="A622:XFD625"/>
    </sheetView>
  </sheetViews>
  <sheetFormatPr baseColWidth="10" defaultRowHeight="16" x14ac:dyDescent="0.2"/>
  <cols>
    <col min="1" max="1" width="19.83203125" style="13" customWidth="1"/>
    <col min="2" max="2" width="22.33203125" style="13" customWidth="1"/>
    <col min="3" max="3" width="14.5" style="13" customWidth="1"/>
    <col min="4" max="4" width="15.1640625" style="13" customWidth="1"/>
    <col min="5" max="6" width="10.83203125" style="13"/>
    <col min="7" max="7" width="17.6640625" style="13" customWidth="1"/>
    <col min="8" max="10" width="10.83203125" style="13"/>
    <col min="11" max="11" width="16" style="13" customWidth="1"/>
    <col min="12" max="13" width="10.83203125" style="13"/>
    <col min="14" max="14" width="15.5" style="13" customWidth="1"/>
    <col min="15" max="15" width="23.5" style="13" customWidth="1"/>
    <col min="16" max="16" width="19.6640625" style="13" customWidth="1"/>
    <col min="17" max="17" width="26.1640625" style="13" customWidth="1"/>
    <col min="18" max="18" width="21.6640625" style="13" customWidth="1"/>
  </cols>
  <sheetData>
    <row r="1" spans="1:21" x14ac:dyDescent="0.2">
      <c r="A1" s="14"/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2"/>
      <c r="T1" s="2"/>
      <c r="U1" s="2"/>
    </row>
    <row r="2" spans="1:21" s="77" customFormat="1" ht="27" x14ac:dyDescent="0.35">
      <c r="A2" s="75" t="s">
        <v>273</v>
      </c>
      <c r="B2" s="75"/>
      <c r="C2" s="75"/>
      <c r="D2" s="75"/>
      <c r="E2" s="75"/>
      <c r="F2" s="75"/>
      <c r="G2" s="75"/>
      <c r="H2" s="75"/>
      <c r="I2" s="75"/>
      <c r="J2" s="75"/>
      <c r="K2" s="75"/>
      <c r="L2" s="75"/>
      <c r="M2" s="75"/>
      <c r="N2" s="75"/>
      <c r="O2" s="75"/>
      <c r="P2" s="75"/>
      <c r="Q2" s="75"/>
      <c r="R2" s="75"/>
      <c r="S2" s="76"/>
      <c r="T2" s="76"/>
      <c r="U2" s="76"/>
    </row>
    <row r="3" spans="1:21" x14ac:dyDescent="0.2">
      <c r="A3" s="14"/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2"/>
      <c r="T3" s="2"/>
      <c r="U3" s="2"/>
    </row>
    <row r="4" spans="1:21" x14ac:dyDescent="0.2"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</row>
    <row r="5" spans="1:21" ht="18" x14ac:dyDescent="0.25">
      <c r="A5" s="15"/>
      <c r="B5" s="16"/>
      <c r="C5" s="17" t="s">
        <v>36</v>
      </c>
      <c r="D5" s="17"/>
      <c r="E5" s="17"/>
      <c r="F5" s="17"/>
      <c r="G5" s="17" t="s">
        <v>37</v>
      </c>
      <c r="H5" s="17"/>
      <c r="I5" s="17" t="s">
        <v>38</v>
      </c>
      <c r="J5" s="17"/>
      <c r="K5" s="17" t="s">
        <v>39</v>
      </c>
      <c r="L5" s="17"/>
      <c r="M5" s="17"/>
      <c r="N5" s="17" t="s">
        <v>40</v>
      </c>
      <c r="O5" s="17"/>
      <c r="P5" s="16"/>
      <c r="Q5" s="16"/>
      <c r="R5" s="16"/>
      <c r="S5" s="16"/>
      <c r="T5" s="16"/>
      <c r="U5" s="16"/>
    </row>
    <row r="6" spans="1:21" ht="18" x14ac:dyDescent="0.25">
      <c r="A6" s="15" t="s">
        <v>41</v>
      </c>
      <c r="B6" s="15" t="s">
        <v>3</v>
      </c>
      <c r="C6" s="15" t="s">
        <v>42</v>
      </c>
      <c r="D6" s="15" t="s">
        <v>43</v>
      </c>
      <c r="E6" s="15" t="s">
        <v>44</v>
      </c>
      <c r="F6" s="15" t="s">
        <v>45</v>
      </c>
      <c r="G6" s="15" t="s">
        <v>42</v>
      </c>
      <c r="H6" s="15" t="s">
        <v>45</v>
      </c>
      <c r="I6" s="18" t="s">
        <v>46</v>
      </c>
      <c r="J6" s="18" t="s">
        <v>47</v>
      </c>
      <c r="K6" s="15" t="s">
        <v>42</v>
      </c>
      <c r="L6" s="15" t="s">
        <v>45</v>
      </c>
      <c r="M6" s="15" t="s">
        <v>48</v>
      </c>
      <c r="N6" s="18" t="s">
        <v>46</v>
      </c>
      <c r="O6" s="18" t="s">
        <v>47</v>
      </c>
      <c r="P6" s="16"/>
      <c r="Q6" s="16"/>
      <c r="R6" s="16"/>
      <c r="S6" s="16"/>
      <c r="T6" s="16"/>
      <c r="U6" s="16"/>
    </row>
    <row r="7" spans="1:21" x14ac:dyDescent="0.2">
      <c r="A7" s="19" t="s">
        <v>49</v>
      </c>
      <c r="B7" s="14" t="s">
        <v>289</v>
      </c>
      <c r="C7" s="6">
        <f>[1]ALNS!Z177</f>
        <v>55302.65</v>
      </c>
      <c r="D7" s="6">
        <f>[1]ALNS!AA177</f>
        <v>55302.65</v>
      </c>
      <c r="E7" s="22">
        <f>[1]ALNS!AD177</f>
        <v>0</v>
      </c>
      <c r="F7" s="6">
        <f>[1]ALNS!AE177</f>
        <v>17.516000000000002</v>
      </c>
      <c r="G7" s="6">
        <f>'[1]PFB tests'!F5</f>
        <v>55302.648000000001</v>
      </c>
      <c r="H7" s="6">
        <f>'[1]PFB tests'!G5</f>
        <v>18.851193750000601</v>
      </c>
      <c r="I7" s="26">
        <f t="shared" ref="I7:I14" si="0">(C7-G7)/G7</f>
        <v>3.616463357066471E-8</v>
      </c>
      <c r="J7" s="26">
        <f>(F7-H7)/H7</f>
        <v>-7.0828074216814849E-2</v>
      </c>
      <c r="K7" s="6">
        <f>'[1]Gurobi tests'!F6</f>
        <v>55302.6466735012</v>
      </c>
      <c r="L7" s="6">
        <f>'[1]Gurobi tests'!G6</f>
        <v>108.84</v>
      </c>
      <c r="M7" s="27">
        <f>'[1]Gurobi tests'!H6/100</f>
        <v>0</v>
      </c>
      <c r="N7" s="26">
        <f t="shared" ref="N7:N10" si="1">(C7-K7)/K7</f>
        <v>6.0150806544755454E-8</v>
      </c>
      <c r="O7" s="26">
        <f t="shared" ref="O7:O10" si="2">(F7/2-L7)/L7</f>
        <v>-0.91953325983094458</v>
      </c>
      <c r="P7" s="14"/>
      <c r="Q7" s="20"/>
      <c r="R7" s="20"/>
      <c r="S7" s="14"/>
      <c r="T7" s="14"/>
      <c r="U7" s="14"/>
    </row>
    <row r="8" spans="1:21" x14ac:dyDescent="0.2">
      <c r="A8" s="19" t="s">
        <v>50</v>
      </c>
      <c r="B8" s="14" t="s">
        <v>289</v>
      </c>
      <c r="C8" s="6">
        <f>[1]ALNS!Z178</f>
        <v>85432.51</v>
      </c>
      <c r="D8" s="6">
        <f>[1]ALNS!AA178</f>
        <v>85432.51</v>
      </c>
      <c r="E8" s="22">
        <f>[1]ALNS!AD178</f>
        <v>0</v>
      </c>
      <c r="F8" s="6">
        <f>[1]ALNS!AE178</f>
        <v>23.722000000000001</v>
      </c>
      <c r="G8" s="6">
        <f>'[1]PFB tests'!F6</f>
        <v>85320.096109999693</v>
      </c>
      <c r="H8" s="6">
        <f>'[1]PFB tests'!G6</f>
        <v>23.503628541999198</v>
      </c>
      <c r="I8" s="26">
        <f t="shared" si="0"/>
        <v>1.3175546574088614E-3</v>
      </c>
      <c r="J8" s="26">
        <f t="shared" ref="J8:J14" si="3">(F8-H8)/H8</f>
        <v>9.2909678865367423E-3</v>
      </c>
      <c r="K8" s="6">
        <f>'[1]Gurobi tests'!F7</f>
        <v>85320.092578363197</v>
      </c>
      <c r="L8" s="6">
        <f>'[1]Gurobi tests'!G7</f>
        <v>415.06</v>
      </c>
      <c r="M8" s="27">
        <f>'[1]Gurobi tests'!H7/100</f>
        <v>0</v>
      </c>
      <c r="N8" s="26">
        <f t="shared" si="1"/>
        <v>1.3175961047340206E-3</v>
      </c>
      <c r="O8" s="26">
        <f t="shared" si="2"/>
        <v>-0.97142340866380772</v>
      </c>
      <c r="P8" s="14"/>
      <c r="Q8" s="20"/>
      <c r="R8" s="20"/>
      <c r="S8" s="14"/>
      <c r="T8" s="14"/>
      <c r="U8" s="14"/>
    </row>
    <row r="9" spans="1:21" x14ac:dyDescent="0.2">
      <c r="A9" s="19" t="s">
        <v>51</v>
      </c>
      <c r="B9" s="14" t="s">
        <v>289</v>
      </c>
      <c r="C9" s="6">
        <f>[1]ALNS!Z179</f>
        <v>120339.08</v>
      </c>
      <c r="D9" s="6">
        <f>[1]ALNS!AA179</f>
        <v>120339.08</v>
      </c>
      <c r="E9" s="22">
        <f>[1]ALNS!AD179</f>
        <v>0</v>
      </c>
      <c r="F9" s="6">
        <f>[1]ALNS!AE179</f>
        <v>35.75</v>
      </c>
      <c r="G9" s="6">
        <f>'[1]PFB tests'!F7</f>
        <v>120256.320109999</v>
      </c>
      <c r="H9" s="6">
        <f>'[1]PFB tests'!G7</f>
        <v>29.039053707998299</v>
      </c>
      <c r="I9" s="26">
        <f t="shared" si="0"/>
        <v>6.881957632272833E-4</v>
      </c>
      <c r="J9" s="26">
        <f t="shared" si="3"/>
        <v>0.23110072247820143</v>
      </c>
      <c r="K9" s="6">
        <f>'[1]Gurobi tests'!F8</f>
        <v>120935.91557553499</v>
      </c>
      <c r="L9" s="6">
        <f>'[1]Gurobi tests'!G8</f>
        <v>3666.4</v>
      </c>
      <c r="M9" s="27">
        <f>'[1]Gurobi tests'!H8/100</f>
        <v>0.13928651381495</v>
      </c>
      <c r="N9" s="26">
        <f t="shared" si="1"/>
        <v>-4.9351391825550412E-3</v>
      </c>
      <c r="O9" s="26">
        <f t="shared" si="2"/>
        <v>-0.99512464542875845</v>
      </c>
      <c r="P9" s="14"/>
      <c r="Q9" s="20"/>
      <c r="R9" s="20"/>
      <c r="S9" s="14"/>
      <c r="T9" s="14"/>
      <c r="U9" s="14"/>
    </row>
    <row r="10" spans="1:21" x14ac:dyDescent="0.2">
      <c r="A10" s="19" t="s">
        <v>52</v>
      </c>
      <c r="B10" s="14" t="s">
        <v>289</v>
      </c>
      <c r="C10" s="6">
        <f>[1]ALNS!Z180</f>
        <v>133149.32</v>
      </c>
      <c r="D10" s="6">
        <f>[1]ALNS!AA180</f>
        <v>133149.32</v>
      </c>
      <c r="E10" s="22">
        <f>[1]ALNS!AD180</f>
        <v>0</v>
      </c>
      <c r="F10" s="6">
        <f>[1]ALNS!AE180</f>
        <v>35.426000000000002</v>
      </c>
      <c r="G10" s="6">
        <f>'[1]PFB tests'!F8</f>
        <v>133149.34816499901</v>
      </c>
      <c r="H10" s="6">
        <f>'[1]PFB tests'!G8</f>
        <v>40.1645165000009</v>
      </c>
      <c r="I10" s="26">
        <f t="shared" si="0"/>
        <v>-2.1152937956291574E-7</v>
      </c>
      <c r="J10" s="26">
        <f t="shared" si="3"/>
        <v>-0.11797768062266582</v>
      </c>
      <c r="K10" s="6">
        <f>'[1]Gurobi tests'!F9</f>
        <v>133173.04800000001</v>
      </c>
      <c r="L10" s="6">
        <f>'[1]Gurobi tests'!G9</f>
        <v>3694.59</v>
      </c>
      <c r="M10" s="27">
        <f>'[1]Gurobi tests'!H9/100</f>
        <v>0.16976439861027298</v>
      </c>
      <c r="N10" s="26">
        <f t="shared" si="1"/>
        <v>-1.7817419032117363E-4</v>
      </c>
      <c r="O10" s="26">
        <f t="shared" si="2"/>
        <v>-0.9952056926478986</v>
      </c>
      <c r="P10" s="14"/>
      <c r="Q10" s="20"/>
      <c r="R10" s="20"/>
      <c r="S10" s="14"/>
      <c r="T10" s="14"/>
      <c r="U10" s="14"/>
    </row>
    <row r="11" spans="1:21" x14ac:dyDescent="0.2">
      <c r="A11" s="19" t="s">
        <v>53</v>
      </c>
      <c r="B11" s="14" t="s">
        <v>289</v>
      </c>
      <c r="C11" s="6">
        <f>[1]ALNS!Z181</f>
        <v>162624.14000000001</v>
      </c>
      <c r="D11" s="6">
        <f>[1]ALNS!AA181</f>
        <v>162624.14000000001</v>
      </c>
      <c r="E11" s="22">
        <f>[1]ALNS!AD181</f>
        <v>0</v>
      </c>
      <c r="F11" s="6">
        <f>[1]ALNS!AE181</f>
        <v>52.374000000000002</v>
      </c>
      <c r="G11" s="6">
        <f>'[1]PFB tests'!F9</f>
        <v>162949.77622</v>
      </c>
      <c r="H11" s="6">
        <f>'[1]PFB tests'!G9</f>
        <v>84.329131916998406</v>
      </c>
      <c r="I11" s="26">
        <f t="shared" si="0"/>
        <v>-1.9983839656235016E-3</v>
      </c>
      <c r="J11" s="26">
        <f t="shared" si="3"/>
        <v>-0.37893348586168879</v>
      </c>
      <c r="K11" s="6">
        <f>'[1]Gurobi tests'!F10</f>
        <v>164821.16249328299</v>
      </c>
      <c r="L11" s="6">
        <f>'[1]Gurobi tests'!G10</f>
        <v>3758.42</v>
      </c>
      <c r="M11" s="27">
        <f>'[1]Gurobi tests'!H10/100</f>
        <v>0.211014656457371</v>
      </c>
      <c r="N11" s="26">
        <f>(C11-K11)/K11</f>
        <v>-1.3329735454162382E-2</v>
      </c>
      <c r="O11" s="26">
        <f>(F11/2-L11)/L11</f>
        <v>-0.99303244448465045</v>
      </c>
      <c r="P11" s="14"/>
      <c r="Q11" s="20"/>
      <c r="R11" s="20"/>
      <c r="S11" s="14"/>
      <c r="T11" s="14"/>
      <c r="U11" s="14"/>
    </row>
    <row r="12" spans="1:21" x14ac:dyDescent="0.2">
      <c r="A12" s="19" t="s">
        <v>54</v>
      </c>
      <c r="B12" s="14" t="s">
        <v>289</v>
      </c>
      <c r="C12" s="6">
        <f>[1]ALNS!Z182</f>
        <v>172181.53</v>
      </c>
      <c r="D12" s="6">
        <f>[1]ALNS!AA182</f>
        <v>172181.53</v>
      </c>
      <c r="E12" s="22">
        <f>[1]ALNS!AD182</f>
        <v>0</v>
      </c>
      <c r="F12" s="6">
        <f>[1]ALNS!AE182</f>
        <v>56.503999999999998</v>
      </c>
      <c r="G12" s="6">
        <f>'[1]PFB tests'!F10</f>
        <v>172929.97211</v>
      </c>
      <c r="H12" s="6">
        <f>'[1]PFB tests'!G10</f>
        <v>194.059105415999</v>
      </c>
      <c r="I12" s="26">
        <f t="shared" si="0"/>
        <v>-4.3280068854919078E-3</v>
      </c>
      <c r="J12" s="26">
        <f t="shared" si="3"/>
        <v>-0.7088309776607804</v>
      </c>
      <c r="K12" s="6">
        <f>'[1]Gurobi tests'!F11</f>
        <v>178132.95248459399</v>
      </c>
      <c r="L12" s="6">
        <f>'[1]Gurobi tests'!G11</f>
        <v>3797.76</v>
      </c>
      <c r="M12" s="27">
        <f>'[1]Gurobi tests'!H11/100</f>
        <v>0.16530330178160299</v>
      </c>
      <c r="N12" s="26">
        <f>(C12-K12)/K12</f>
        <v>-3.3410003043141075E-2</v>
      </c>
      <c r="O12" s="26">
        <f>(F12/2-L12)/L12</f>
        <v>-0.99256087799123693</v>
      </c>
      <c r="P12" s="14"/>
      <c r="Q12" s="20"/>
      <c r="R12" s="20"/>
      <c r="S12" s="14"/>
      <c r="T12" s="14"/>
      <c r="U12" s="14"/>
    </row>
    <row r="13" spans="1:21" x14ac:dyDescent="0.2">
      <c r="A13" s="19" t="s">
        <v>55</v>
      </c>
      <c r="B13" s="14" t="s">
        <v>289</v>
      </c>
      <c r="C13" s="6">
        <f>[1]ALNS!Z183</f>
        <v>209957.74</v>
      </c>
      <c r="D13" s="6">
        <f>[1]ALNS!AA183</f>
        <v>209957.74</v>
      </c>
      <c r="E13" s="22">
        <f>[1]ALNS!AD183</f>
        <v>0</v>
      </c>
      <c r="F13" s="6">
        <f>[1]ALNS!AE183</f>
        <v>70.807999999999993</v>
      </c>
      <c r="G13" s="6">
        <f>'[1]PFB tests'!F11</f>
        <v>211543.47622000001</v>
      </c>
      <c r="H13" s="6">
        <f>'[1]PFB tests'!G11</f>
        <v>551.14548199999899</v>
      </c>
      <c r="I13" s="26">
        <f t="shared" si="0"/>
        <v>-7.4960298863146887E-3</v>
      </c>
      <c r="J13" s="26">
        <f t="shared" si="3"/>
        <v>-0.87152575442866442</v>
      </c>
      <c r="K13" s="6">
        <f>'[1]Gurobi tests'!F12</f>
        <v>214372.16984966301</v>
      </c>
      <c r="L13" s="6">
        <f>'[1]Gurobi tests'!G12</f>
        <v>3903.69</v>
      </c>
      <c r="M13" s="27">
        <f>'[1]Gurobi tests'!H12/100</f>
        <v>0.185111816284248</v>
      </c>
      <c r="N13" s="26">
        <f>(C13-K13)/K13</f>
        <v>-2.059236445084647E-2</v>
      </c>
      <c r="O13" s="26">
        <f>(F13/2-L13)/L13</f>
        <v>-0.99093063229918354</v>
      </c>
      <c r="P13" s="14"/>
      <c r="Q13" s="20"/>
      <c r="R13" s="20"/>
      <c r="S13" s="14"/>
      <c r="T13" s="14"/>
      <c r="U13" s="14"/>
    </row>
    <row r="14" spans="1:21" x14ac:dyDescent="0.2">
      <c r="A14" s="19" t="s">
        <v>56</v>
      </c>
      <c r="B14" s="14" t="s">
        <v>289</v>
      </c>
      <c r="C14" s="6">
        <f>[1]ALNS!Z184</f>
        <v>244372.75200000001</v>
      </c>
      <c r="D14" s="6">
        <f>[1]ALNS!AA184</f>
        <v>244251.13</v>
      </c>
      <c r="E14" s="22">
        <f>[1]ALNS!AD184</f>
        <v>3.5376073674266839E-4</v>
      </c>
      <c r="F14" s="6">
        <f>[1]ALNS!AE184</f>
        <v>81.421999999999997</v>
      </c>
      <c r="G14" s="6">
        <f>'[1]PFB tests'!F12</f>
        <v>244752.39610999901</v>
      </c>
      <c r="H14" s="6">
        <f>'[1]PFB tests'!G12</f>
        <v>1293.1789409999899</v>
      </c>
      <c r="I14" s="26">
        <f t="shared" si="0"/>
        <v>-1.5511354169884446E-3</v>
      </c>
      <c r="J14" s="26">
        <f t="shared" si="3"/>
        <v>-0.93703732915953764</v>
      </c>
      <c r="K14" s="6">
        <f>'[1]Gurobi tests'!F13</f>
        <v>262512.720014558</v>
      </c>
      <c r="L14" s="6">
        <f>'[1]Gurobi tests'!G13</f>
        <v>4072.79</v>
      </c>
      <c r="M14" s="27">
        <f>'[1]Gurobi tests'!H13/100</f>
        <v>0.23390782404696001</v>
      </c>
      <c r="N14" s="26">
        <f>(C14-K14)/K14</f>
        <v>-6.9101291600468032E-2</v>
      </c>
      <c r="O14" s="26">
        <f>(F14/2-L14)/L14</f>
        <v>-0.99000414948966198</v>
      </c>
      <c r="P14" s="14"/>
      <c r="Q14" s="20"/>
      <c r="R14" s="20"/>
      <c r="S14" s="14"/>
      <c r="T14" s="14"/>
      <c r="U14" s="14"/>
    </row>
    <row r="15" spans="1:21" x14ac:dyDescent="0.2">
      <c r="A15" s="19" t="s">
        <v>57</v>
      </c>
      <c r="B15" s="14" t="s">
        <v>289</v>
      </c>
      <c r="C15" s="6">
        <f>[1]ALNS!Z185</f>
        <v>260256.95600000001</v>
      </c>
      <c r="D15" s="6">
        <f>[1]ALNS!AA185</f>
        <v>260239.13</v>
      </c>
      <c r="E15" s="22">
        <f>[1]ALNS!AD185</f>
        <v>1.5315689685893862E-4</v>
      </c>
      <c r="F15" s="6">
        <f>[1]ALNS!AE185</f>
        <v>116.92999999999999</v>
      </c>
      <c r="G15" s="6" t="str">
        <f>'[1]PFB tests'!F13</f>
        <v>Infeasible</v>
      </c>
      <c r="H15" s="6" t="str">
        <f>'[1]PFB tests'!G13</f>
        <v>-</v>
      </c>
      <c r="I15" s="26" t="s">
        <v>32</v>
      </c>
      <c r="J15" s="26" t="s">
        <v>32</v>
      </c>
      <c r="K15" s="6">
        <f>'[1]Gurobi tests'!F14</f>
        <v>285636.86426498299</v>
      </c>
      <c r="L15" s="6">
        <f>'[1]Gurobi tests'!G14</f>
        <v>4182.28</v>
      </c>
      <c r="M15" s="27">
        <f>'[1]Gurobi tests'!H14/100</f>
        <v>0.25684681887752797</v>
      </c>
      <c r="N15" s="26">
        <f>(C15-K15)/K15</f>
        <v>-8.8853756080441521E-2</v>
      </c>
      <c r="O15" s="26">
        <f>(F15/2-L15)/L15</f>
        <v>-0.98602078292223372</v>
      </c>
      <c r="P15" s="14"/>
      <c r="Q15" s="20"/>
      <c r="R15" s="20"/>
      <c r="S15" s="14"/>
      <c r="T15" s="14"/>
      <c r="U15" s="14"/>
    </row>
    <row r="16" spans="1:21" x14ac:dyDescent="0.2">
      <c r="A16" s="19" t="s">
        <v>58</v>
      </c>
      <c r="B16" s="14" t="s">
        <v>289</v>
      </c>
      <c r="C16" s="6">
        <f>[1]ALNS!Z186</f>
        <v>282543.19400000002</v>
      </c>
      <c r="D16" s="6">
        <f>[1]ALNS!AA186</f>
        <v>282476.52</v>
      </c>
      <c r="E16" s="22">
        <f>[1]ALNS!AD186</f>
        <v>3.3615655591083657E-4</v>
      </c>
      <c r="F16" s="6">
        <f>[1]ALNS!AE186</f>
        <v>144.916</v>
      </c>
      <c r="G16" s="6" t="s">
        <v>15</v>
      </c>
      <c r="H16" s="6" t="s">
        <v>32</v>
      </c>
      <c r="I16" s="26" t="s">
        <v>32</v>
      </c>
      <c r="J16" s="26" t="s">
        <v>32</v>
      </c>
      <c r="K16" s="14" t="s">
        <v>15</v>
      </c>
      <c r="L16" s="14" t="s">
        <v>32</v>
      </c>
      <c r="M16" s="27" t="s">
        <v>32</v>
      </c>
      <c r="N16" s="14" t="s">
        <v>32</v>
      </c>
      <c r="O16" s="14" t="s">
        <v>32</v>
      </c>
      <c r="P16" s="14"/>
      <c r="Q16" s="20"/>
      <c r="R16" s="20"/>
      <c r="S16" s="14"/>
      <c r="T16" s="14"/>
      <c r="U16" s="14"/>
    </row>
    <row r="17" spans="1:21" x14ac:dyDescent="0.2">
      <c r="A17" s="14"/>
      <c r="B17" s="14"/>
      <c r="C17" s="6"/>
      <c r="D17" s="6"/>
      <c r="E17" s="22"/>
      <c r="F17" s="6"/>
      <c r="G17" s="20"/>
      <c r="H17" s="14"/>
      <c r="I17" s="14"/>
      <c r="J17" s="14"/>
      <c r="K17" s="14"/>
      <c r="L17" s="14"/>
      <c r="M17" s="27"/>
      <c r="N17" s="14"/>
      <c r="O17" s="14"/>
      <c r="P17" s="14"/>
      <c r="Q17" s="20"/>
      <c r="R17" s="20"/>
      <c r="S17" s="14"/>
      <c r="T17" s="14"/>
      <c r="U17" s="14"/>
    </row>
    <row r="18" spans="1:21" x14ac:dyDescent="0.2">
      <c r="A18" s="19" t="s">
        <v>59</v>
      </c>
      <c r="B18" s="14" t="s">
        <v>289</v>
      </c>
      <c r="C18" s="6">
        <f>[1]ALNS!Z188</f>
        <v>67976.17</v>
      </c>
      <c r="D18" s="6">
        <f>[1]ALNS!AA188</f>
        <v>67976.17</v>
      </c>
      <c r="E18" s="22">
        <f>[1]ALNS!AD188</f>
        <v>0</v>
      </c>
      <c r="F18" s="6">
        <f>[1]ALNS!AE188</f>
        <v>17.591999999999999</v>
      </c>
      <c r="G18" s="6">
        <f>'[1]PFB tests'!F16</f>
        <v>67976.171499999997</v>
      </c>
      <c r="H18" s="6">
        <f>'[1]PFB tests'!G16</f>
        <v>18.510349750002199</v>
      </c>
      <c r="I18" s="26">
        <f t="shared" ref="I18:I25" si="4">(C18-G18)/G18</f>
        <v>-2.2066556050256535E-8</v>
      </c>
      <c r="J18" s="26">
        <f>(F18-H18)/H18</f>
        <v>-4.9612771363333689E-2</v>
      </c>
      <c r="K18" s="6">
        <f>'[1]Gurobi tests'!F17</f>
        <v>67976.171444987602</v>
      </c>
      <c r="L18" s="6">
        <f>'[1]Gurobi tests'!G17</f>
        <v>161.4</v>
      </c>
      <c r="M18" s="27">
        <f>'[1]Gurobi tests'!H17/100</f>
        <v>0</v>
      </c>
      <c r="N18" s="26">
        <f>(C18-K18)/K18</f>
        <v>-2.1257266667815289E-8</v>
      </c>
      <c r="O18" s="26">
        <f>(F18/2-L18)/L18</f>
        <v>-0.94550185873605952</v>
      </c>
      <c r="P18" s="14"/>
      <c r="Q18" s="20"/>
      <c r="R18" s="20"/>
      <c r="S18" s="14"/>
      <c r="T18" s="14"/>
      <c r="U18" s="14"/>
    </row>
    <row r="19" spans="1:21" x14ac:dyDescent="0.2">
      <c r="A19" s="19" t="s">
        <v>60</v>
      </c>
      <c r="B19" s="14" t="s">
        <v>289</v>
      </c>
      <c r="C19" s="6">
        <f>[1]ALNS!Z189</f>
        <v>105663.87</v>
      </c>
      <c r="D19" s="6">
        <f>[1]ALNS!AA189</f>
        <v>105663.87</v>
      </c>
      <c r="E19" s="22">
        <f>[1]ALNS!AD189</f>
        <v>0</v>
      </c>
      <c r="F19" s="6">
        <f>[1]ALNS!AE189</f>
        <v>26.215999999999998</v>
      </c>
      <c r="G19" s="6">
        <f>'[1]PFB tests'!F17</f>
        <v>105663.867</v>
      </c>
      <c r="H19" s="6">
        <f>'[1]PFB tests'!G17</f>
        <v>24.3366307919968</v>
      </c>
      <c r="I19" s="26">
        <f t="shared" si="4"/>
        <v>2.8391919415302128E-8</v>
      </c>
      <c r="J19" s="26">
        <f t="shared" ref="J19:J25" si="5">(F19-H19)/H19</f>
        <v>7.7223886250566601E-2</v>
      </c>
      <c r="K19" s="6">
        <f>'[1]Gurobi tests'!F18</f>
        <v>105663.850200015</v>
      </c>
      <c r="L19" s="6">
        <f>'[1]Gurobi tests'!G18</f>
        <v>2932.73</v>
      </c>
      <c r="M19" s="27">
        <f>'[1]Gurobi tests'!H18/100</f>
        <v>0</v>
      </c>
      <c r="N19" s="26">
        <f>(C19-K19)/K19</f>
        <v>1.8738655608394283E-7</v>
      </c>
      <c r="O19" s="26">
        <f>(F19/2-L19)/L19</f>
        <v>-0.99553044433002691</v>
      </c>
      <c r="P19" s="14"/>
      <c r="Q19" s="20"/>
      <c r="R19" s="20"/>
      <c r="S19" s="14"/>
      <c r="T19" s="14"/>
      <c r="U19" s="14"/>
    </row>
    <row r="20" spans="1:21" x14ac:dyDescent="0.2">
      <c r="A20" s="19" t="s">
        <v>61</v>
      </c>
      <c r="B20" s="14" t="s">
        <v>289</v>
      </c>
      <c r="C20" s="6">
        <f>[1]ALNS!Z190</f>
        <v>152395.73000000001</v>
      </c>
      <c r="D20" s="6">
        <f>[1]ALNS!AA190</f>
        <v>152395.73000000001</v>
      </c>
      <c r="E20" s="22">
        <f>[1]ALNS!AD190</f>
        <v>0</v>
      </c>
      <c r="F20" s="6">
        <f>[1]ALNS!AE190</f>
        <v>43.510000000000005</v>
      </c>
      <c r="G20" s="6">
        <f>'[1]PFB tests'!F18</f>
        <v>152395.73149999999</v>
      </c>
      <c r="H20" s="6">
        <f>'[1]PFB tests'!G18</f>
        <v>31.1863764579975</v>
      </c>
      <c r="I20" s="26">
        <f t="shared" si="4"/>
        <v>-9.8427952618521061E-9</v>
      </c>
      <c r="J20" s="26">
        <f t="shared" si="5"/>
        <v>0.39516048164813994</v>
      </c>
      <c r="K20" s="6">
        <f>'[1]Gurobi tests'!F19</f>
        <v>162408.429524893</v>
      </c>
      <c r="L20" s="6">
        <f>'[1]Gurobi tests'!G19</f>
        <v>3664.65</v>
      </c>
      <c r="M20" s="27">
        <f>'[1]Gurobi tests'!H19/100</f>
        <v>0.27956699398760299</v>
      </c>
      <c r="N20" s="26">
        <f>(C20-K20)/K20</f>
        <v>-6.165135365315691E-2</v>
      </c>
      <c r="O20" s="26">
        <f>(F20/2-L20)/L20</f>
        <v>-0.994063553136043</v>
      </c>
      <c r="P20" s="14"/>
      <c r="Q20" s="20"/>
      <c r="R20" s="20"/>
      <c r="S20" s="14"/>
      <c r="T20" s="14"/>
      <c r="U20" s="14"/>
    </row>
    <row r="21" spans="1:21" x14ac:dyDescent="0.2">
      <c r="A21" s="19" t="s">
        <v>62</v>
      </c>
      <c r="B21" s="14" t="s">
        <v>289</v>
      </c>
      <c r="C21" s="6">
        <f>[1]ALNS!Z191</f>
        <v>177965.58800000005</v>
      </c>
      <c r="D21" s="6">
        <f>[1]ALNS!AA191</f>
        <v>177061.32</v>
      </c>
      <c r="E21" s="22">
        <f>[1]ALNS!AD191</f>
        <v>6.9576369678569236E-3</v>
      </c>
      <c r="F21" s="6">
        <f>[1]ALNS!AE191</f>
        <v>86.575999999999993</v>
      </c>
      <c r="G21" s="6">
        <f>'[1]PFB tests'!F19</f>
        <v>179186.17124997301</v>
      </c>
      <c r="H21" s="6">
        <f>'[1]PFB tests'!G19</f>
        <v>61.217876124999698</v>
      </c>
      <c r="I21" s="26">
        <f t="shared" si="4"/>
        <v>-6.8118161209560551E-3</v>
      </c>
      <c r="J21" s="26">
        <f t="shared" si="5"/>
        <v>0.41422743616949387</v>
      </c>
      <c r="K21" s="6">
        <f>'[1]Gurobi tests'!F20</f>
        <v>193407.97375</v>
      </c>
      <c r="L21" s="6">
        <f>'[1]Gurobi tests'!G20</f>
        <v>3695.09</v>
      </c>
      <c r="M21" s="27">
        <f>'[1]Gurobi tests'!H20/100</f>
        <v>0.30805349460869702</v>
      </c>
      <c r="N21" s="26">
        <f>(C21-K21)/K21</f>
        <v>-7.9843583749865735E-2</v>
      </c>
      <c r="O21" s="26">
        <f t="shared" ref="O21" si="6">(F21/2-L21)/L21</f>
        <v>-0.98828499441150286</v>
      </c>
      <c r="P21" s="14"/>
      <c r="Q21" s="20"/>
      <c r="R21" s="20"/>
      <c r="S21" s="14"/>
      <c r="T21" s="14"/>
      <c r="U21" s="14"/>
    </row>
    <row r="22" spans="1:21" x14ac:dyDescent="0.2">
      <c r="A22" s="19" t="s">
        <v>63</v>
      </c>
      <c r="B22" s="14" t="s">
        <v>289</v>
      </c>
      <c r="C22" s="6">
        <f>[1]ALNS!Z192</f>
        <v>210478.84</v>
      </c>
      <c r="D22" s="6">
        <f>[1]ALNS!AA192</f>
        <v>210478.84</v>
      </c>
      <c r="E22" s="22">
        <f>[1]ALNS!AD192</f>
        <v>0</v>
      </c>
      <c r="F22" s="6">
        <f>[1]ALNS!AE192</f>
        <v>220.81799999999998</v>
      </c>
      <c r="G22" s="6">
        <f>'[1]PFB tests'!F20</f>
        <v>210478.842</v>
      </c>
      <c r="H22" s="6">
        <f>'[1]PFB tests'!G20</f>
        <v>147.058327958999</v>
      </c>
      <c r="I22" s="26">
        <f t="shared" si="4"/>
        <v>-9.5021427744429121E-9</v>
      </c>
      <c r="J22" s="26">
        <f t="shared" si="5"/>
        <v>0.50156746010036068</v>
      </c>
      <c r="K22" s="6" t="str">
        <f>'[1]Gurobi tests'!F21</f>
        <v>Infeasible</v>
      </c>
      <c r="L22" s="6">
        <f>'[1]Gurobi tests'!G21</f>
        <v>3756.53</v>
      </c>
      <c r="M22" s="27" t="s">
        <v>32</v>
      </c>
      <c r="N22" s="26" t="s">
        <v>32</v>
      </c>
      <c r="O22" s="26">
        <f>(F22/2-L22)/L22</f>
        <v>-0.97060877991124783</v>
      </c>
      <c r="P22" s="14"/>
      <c r="Q22" s="20"/>
      <c r="R22" s="20"/>
      <c r="S22" s="14"/>
      <c r="T22" s="14"/>
      <c r="U22" s="14"/>
    </row>
    <row r="23" spans="1:21" x14ac:dyDescent="0.2">
      <c r="A23" s="19" t="s">
        <v>64</v>
      </c>
      <c r="B23" s="14" t="s">
        <v>289</v>
      </c>
      <c r="C23" s="6">
        <f>[1]ALNS!Z193</f>
        <v>228714.67</v>
      </c>
      <c r="D23" s="6">
        <f>[1]ALNS!AA193</f>
        <v>228714.67</v>
      </c>
      <c r="E23" s="22">
        <f>[1]ALNS!AD193</f>
        <v>0</v>
      </c>
      <c r="F23" s="6">
        <f>[1]ALNS!AE193</f>
        <v>210.13800000000001</v>
      </c>
      <c r="G23" s="6">
        <f>'[1]PFB tests'!F21</f>
        <v>232577.911499999</v>
      </c>
      <c r="H23" s="6">
        <f>'[1]PFB tests'!G21</f>
        <v>330.28306787499901</v>
      </c>
      <c r="I23" s="26">
        <f t="shared" si="4"/>
        <v>-1.6610526232191235E-2</v>
      </c>
      <c r="J23" s="26">
        <f t="shared" si="5"/>
        <v>-0.36376393330726192</v>
      </c>
      <c r="K23" s="6" t="str">
        <f>'[1]Gurobi tests'!F22</f>
        <v>Infeasible</v>
      </c>
      <c r="L23" s="6">
        <f>'[1]Gurobi tests'!G22</f>
        <v>3796.11</v>
      </c>
      <c r="M23" s="27" t="s">
        <v>32</v>
      </c>
      <c r="N23" s="26" t="s">
        <v>32</v>
      </c>
      <c r="O23" s="26">
        <f>(F23/2-L23)/L23</f>
        <v>-0.9723219295542016</v>
      </c>
      <c r="P23" s="14"/>
      <c r="Q23" s="20"/>
      <c r="R23" s="20"/>
      <c r="S23" s="14"/>
      <c r="T23" s="14"/>
      <c r="U23" s="14"/>
    </row>
    <row r="24" spans="1:21" x14ac:dyDescent="0.2">
      <c r="A24" s="19" t="s">
        <v>65</v>
      </c>
      <c r="B24" s="14" t="s">
        <v>289</v>
      </c>
      <c r="C24" s="6">
        <f>[1]ALNS!Z194</f>
        <v>276592.96599999996</v>
      </c>
      <c r="D24" s="6">
        <f>[1]ALNS!AA194</f>
        <v>276569.74</v>
      </c>
      <c r="E24" s="22">
        <f>[1]ALNS!AD194</f>
        <v>7.6655384652972198E-5</v>
      </c>
      <c r="F24" s="6">
        <f>[1]ALNS!AE194</f>
        <v>356.77799999999996</v>
      </c>
      <c r="G24" s="6">
        <f>'[1]PFB tests'!F22</f>
        <v>278422.32749999902</v>
      </c>
      <c r="H24" s="6">
        <f>'[1]PFB tests'!G22</f>
        <v>889.21495791599898</v>
      </c>
      <c r="I24" s="26">
        <f t="shared" si="4"/>
        <v>-6.5704554531427588E-3</v>
      </c>
      <c r="J24" s="26">
        <f t="shared" si="5"/>
        <v>-0.5987719315516693</v>
      </c>
      <c r="K24" s="6" t="str">
        <f>'[1]Gurobi tests'!F23</f>
        <v>Infeasible</v>
      </c>
      <c r="L24" s="6">
        <f>'[1]Gurobi tests'!G23</f>
        <v>3906.95</v>
      </c>
      <c r="M24" s="27" t="s">
        <v>32</v>
      </c>
      <c r="N24" s="26" t="s">
        <v>32</v>
      </c>
      <c r="O24" s="26">
        <f>(F24/2-L24)/L24</f>
        <v>-0.95434059816480887</v>
      </c>
      <c r="P24" s="14"/>
      <c r="Q24" s="20"/>
      <c r="R24" s="20"/>
      <c r="S24" s="14"/>
      <c r="T24" s="14"/>
      <c r="U24" s="14"/>
    </row>
    <row r="25" spans="1:21" x14ac:dyDescent="0.2">
      <c r="A25" s="19" t="s">
        <v>66</v>
      </c>
      <c r="B25" s="14" t="s">
        <v>289</v>
      </c>
      <c r="C25" s="6">
        <f>[1]ALNS!Z195</f>
        <v>326993.93200000003</v>
      </c>
      <c r="D25" s="6">
        <f>[1]ALNS!AA195</f>
        <v>324738.32</v>
      </c>
      <c r="E25" s="22">
        <f>[1]ALNS!AD195</f>
        <v>4.6023613259229632E-3</v>
      </c>
      <c r="F25" s="6">
        <f>[1]ALNS!AE195</f>
        <v>268.27600000000001</v>
      </c>
      <c r="G25" s="6">
        <f>'[1]PFB tests'!F23</f>
        <v>326640.87399999698</v>
      </c>
      <c r="H25" s="6">
        <f>'[1]PFB tests'!G23</f>
        <v>1958.2312139159901</v>
      </c>
      <c r="I25" s="26">
        <f t="shared" si="4"/>
        <v>1.0808751387404417E-3</v>
      </c>
      <c r="J25" s="26">
        <f t="shared" si="5"/>
        <v>-0.86300085603093168</v>
      </c>
      <c r="K25" s="14" t="s">
        <v>15</v>
      </c>
      <c r="L25" s="14" t="s">
        <v>32</v>
      </c>
      <c r="M25" s="27" t="s">
        <v>32</v>
      </c>
      <c r="N25" s="14" t="s">
        <v>32</v>
      </c>
      <c r="O25" s="14" t="s">
        <v>32</v>
      </c>
      <c r="P25" s="14"/>
      <c r="Q25" s="20"/>
      <c r="R25" s="20"/>
      <c r="S25" s="14"/>
      <c r="T25" s="14"/>
      <c r="U25" s="14"/>
    </row>
    <row r="26" spans="1:21" x14ac:dyDescent="0.2">
      <c r="A26" s="19" t="s">
        <v>67</v>
      </c>
      <c r="B26" s="14" t="s">
        <v>289</v>
      </c>
      <c r="C26" s="6">
        <f>[1]ALNS!Z196</f>
        <v>344233.092</v>
      </c>
      <c r="D26" s="6">
        <f>[1]ALNS!AA196</f>
        <v>342589.5</v>
      </c>
      <c r="E26" s="22">
        <f>[1]ALNS!AD196</f>
        <v>3.4258884561316908E-3</v>
      </c>
      <c r="F26" s="6">
        <f>[1]ALNS!AE196</f>
        <v>424.00599999999997</v>
      </c>
      <c r="G26" s="6" t="str">
        <f>'[1]PFB tests'!F24</f>
        <v>Infeasible</v>
      </c>
      <c r="H26" s="6" t="str">
        <f>'[1]PFB tests'!G24</f>
        <v>-</v>
      </c>
      <c r="I26" s="26" t="s">
        <v>32</v>
      </c>
      <c r="J26" s="26" t="s">
        <v>32</v>
      </c>
      <c r="K26" s="14" t="s">
        <v>15</v>
      </c>
      <c r="L26" s="14" t="s">
        <v>32</v>
      </c>
      <c r="M26" s="27" t="s">
        <v>32</v>
      </c>
      <c r="N26" s="14" t="s">
        <v>32</v>
      </c>
      <c r="O26" s="14" t="s">
        <v>32</v>
      </c>
      <c r="P26" s="14"/>
      <c r="Q26" s="20"/>
      <c r="R26" s="20"/>
      <c r="S26" s="14"/>
      <c r="T26" s="14"/>
      <c r="U26" s="14"/>
    </row>
    <row r="27" spans="1:21" x14ac:dyDescent="0.2">
      <c r="A27" s="19" t="s">
        <v>68</v>
      </c>
      <c r="B27" s="14" t="s">
        <v>289</v>
      </c>
      <c r="C27" s="6">
        <f>[1]ALNS!Z197</f>
        <v>367550.43799999997</v>
      </c>
      <c r="D27" s="6">
        <f>[1]ALNS!AA197</f>
        <v>367168.2</v>
      </c>
      <c r="E27" s="22">
        <f>[1]ALNS!AD197</f>
        <v>1.424869237633629E-3</v>
      </c>
      <c r="F27" s="6">
        <f>[1]ALNS!AE197</f>
        <v>337.51599999999996</v>
      </c>
      <c r="G27" s="6" t="s">
        <v>15</v>
      </c>
      <c r="H27" s="6" t="s">
        <v>32</v>
      </c>
      <c r="I27" s="26" t="s">
        <v>32</v>
      </c>
      <c r="J27" s="26" t="s">
        <v>32</v>
      </c>
      <c r="K27" s="14" t="s">
        <v>15</v>
      </c>
      <c r="L27" s="14" t="s">
        <v>32</v>
      </c>
      <c r="M27" s="27" t="s">
        <v>32</v>
      </c>
      <c r="N27" s="14" t="s">
        <v>32</v>
      </c>
      <c r="O27" s="14" t="s">
        <v>32</v>
      </c>
      <c r="P27" s="14"/>
      <c r="Q27" s="20"/>
      <c r="R27" s="20"/>
      <c r="S27" s="14"/>
      <c r="T27" s="14"/>
      <c r="U27" s="14"/>
    </row>
    <row r="28" spans="1:21" x14ac:dyDescent="0.2">
      <c r="A28" s="14"/>
      <c r="B28" s="14"/>
      <c r="C28" s="6"/>
      <c r="D28" s="6"/>
      <c r="E28" s="22"/>
      <c r="F28" s="6"/>
      <c r="G28" s="14"/>
      <c r="H28" s="14"/>
      <c r="I28" s="26"/>
      <c r="J28" s="26"/>
      <c r="K28" s="14"/>
      <c r="L28" s="14"/>
      <c r="M28" s="27"/>
      <c r="N28" s="26"/>
      <c r="O28" s="26"/>
      <c r="P28" s="14"/>
      <c r="Q28" s="20"/>
      <c r="R28" s="20"/>
      <c r="S28" s="14"/>
      <c r="T28" s="14"/>
      <c r="U28" s="14"/>
    </row>
    <row r="29" spans="1:21" x14ac:dyDescent="0.2">
      <c r="A29" s="19" t="s">
        <v>69</v>
      </c>
      <c r="B29" s="14" t="s">
        <v>289</v>
      </c>
      <c r="C29" s="6">
        <f>[1]ALNS!Z199</f>
        <v>75890.5</v>
      </c>
      <c r="D29" s="6">
        <f>[1]ALNS!AA199</f>
        <v>75890.5</v>
      </c>
      <c r="E29" s="22">
        <f>[1]ALNS!AD199</f>
        <v>0</v>
      </c>
      <c r="F29" s="6">
        <f>[1]ALNS!AE199</f>
        <v>18.091999999999999</v>
      </c>
      <c r="G29" s="6">
        <f>'[1]PFB tests'!F27</f>
        <v>75890.497399999993</v>
      </c>
      <c r="H29" s="6">
        <f>'[1]PFB tests'!G27</f>
        <v>19.306857125000501</v>
      </c>
      <c r="I29" s="26">
        <f>(C29-G29)/G29</f>
        <v>3.4259888868221491E-8</v>
      </c>
      <c r="J29" s="26">
        <f>(F29-H29)/H29</f>
        <v>-6.2923608805670439E-2</v>
      </c>
      <c r="K29" s="6">
        <f>'[1]Gurobi tests'!F28</f>
        <v>75890.497400002598</v>
      </c>
      <c r="L29" s="6">
        <f>'[1]Gurobi tests'!G28</f>
        <v>229.14</v>
      </c>
      <c r="M29" s="27">
        <f>'[1]Gurobi tests'!H28/100</f>
        <v>0</v>
      </c>
      <c r="N29" s="26">
        <f>(C29-K29)/K29</f>
        <v>3.4259854545177044E-8</v>
      </c>
      <c r="O29" s="26">
        <f t="shared" ref="O29:O32" si="7">(F29/2-L29)/L29</f>
        <v>-0.96052195164528242</v>
      </c>
      <c r="P29" s="14"/>
      <c r="Q29" s="20"/>
      <c r="R29" s="20"/>
      <c r="S29" s="14"/>
      <c r="T29" s="14"/>
      <c r="U29" s="14"/>
    </row>
    <row r="30" spans="1:21" x14ac:dyDescent="0.2">
      <c r="A30" s="19" t="s">
        <v>70</v>
      </c>
      <c r="B30" s="14" t="s">
        <v>289</v>
      </c>
      <c r="C30" s="6">
        <f>[1]ALNS!Z200</f>
        <v>134477.75400000002</v>
      </c>
      <c r="D30" s="6">
        <f>[1]ALNS!AA200</f>
        <v>134394.45000000001</v>
      </c>
      <c r="E30" s="22">
        <f>[1]ALNS!AD200</f>
        <v>5.6548981241920013E-4</v>
      </c>
      <c r="F30" s="6">
        <f>[1]ALNS!AE200</f>
        <v>45.158000000000001</v>
      </c>
      <c r="G30" s="6">
        <f>'[1]PFB tests'!F28</f>
        <v>137129.4767</v>
      </c>
      <c r="H30" s="6">
        <f>'[1]PFB tests'!G28</f>
        <v>27.1744178750013</v>
      </c>
      <c r="I30" s="26">
        <f>(C30-G30)/G30</f>
        <v>-1.933736468491886E-2</v>
      </c>
      <c r="J30" s="26">
        <f t="shared" ref="J30:J36" si="8">(F30-H30)/H30</f>
        <v>0.66178352771789928</v>
      </c>
      <c r="K30" s="6">
        <f>'[1]Gurobi tests'!F29</f>
        <v>134370.704949999</v>
      </c>
      <c r="L30" s="6">
        <f>'[1]Gurobi tests'!G29</f>
        <v>3629.96</v>
      </c>
      <c r="M30" s="27">
        <f>'[1]Gurobi tests'!H29/100</f>
        <v>0.24796743424207102</v>
      </c>
      <c r="N30" s="26">
        <f>(C30-K30)/K30</f>
        <v>7.9666955710959734E-4</v>
      </c>
      <c r="O30" s="26">
        <f t="shared" si="7"/>
        <v>-0.993779821265248</v>
      </c>
      <c r="P30" s="14"/>
      <c r="Q30" s="20"/>
      <c r="R30" s="20"/>
      <c r="S30" s="14"/>
      <c r="T30" s="14"/>
      <c r="U30" s="14"/>
    </row>
    <row r="31" spans="1:21" x14ac:dyDescent="0.2">
      <c r="A31" s="19" t="s">
        <v>71</v>
      </c>
      <c r="B31" s="14" t="s">
        <v>289</v>
      </c>
      <c r="C31" s="6">
        <f>[1]ALNS!Z201</f>
        <v>197146.29199999999</v>
      </c>
      <c r="D31" s="6">
        <f>[1]ALNS!AA201</f>
        <v>196964.43</v>
      </c>
      <c r="E31" s="22">
        <f>[1]ALNS!AD201</f>
        <v>1.7080753248658828E-3</v>
      </c>
      <c r="F31" s="6">
        <f>[1]ALNS!AE201</f>
        <v>99.23</v>
      </c>
      <c r="G31" s="6">
        <f>'[1]PFB tests'!F29</f>
        <v>213033.43075</v>
      </c>
      <c r="H31" s="6">
        <f>'[1]PFB tests'!G29</f>
        <v>33.586795125000201</v>
      </c>
      <c r="I31" s="26">
        <f>(C31-G31)/G31</f>
        <v>-7.4575801056520383E-2</v>
      </c>
      <c r="J31" s="26">
        <f t="shared" si="8"/>
        <v>1.9544349090377648</v>
      </c>
      <c r="K31" s="6">
        <f>'[1]Gurobi tests'!F30</f>
        <v>203433.52937499099</v>
      </c>
      <c r="L31" s="6">
        <f>'[1]Gurobi tests'!G30</f>
        <v>3665.27</v>
      </c>
      <c r="M31" s="27">
        <f>'[1]Gurobi tests'!H30/100</f>
        <v>0.38374811186720698</v>
      </c>
      <c r="N31" s="26">
        <f>(C31-K31)/K31</f>
        <v>-3.0905610271361308E-2</v>
      </c>
      <c r="O31" s="26">
        <f t="shared" si="7"/>
        <v>-0.98646348018017782</v>
      </c>
      <c r="P31" s="14"/>
      <c r="Q31" s="20"/>
      <c r="R31" s="20"/>
      <c r="S31" s="14"/>
      <c r="T31" s="14"/>
      <c r="U31" s="14"/>
    </row>
    <row r="32" spans="1:21" x14ac:dyDescent="0.2">
      <c r="A32" s="19" t="s">
        <v>72</v>
      </c>
      <c r="B32" s="14" t="s">
        <v>289</v>
      </c>
      <c r="C32" s="6">
        <f>[1]ALNS!Z202</f>
        <v>242804.26</v>
      </c>
      <c r="D32" s="6">
        <f>[1]ALNS!AA202</f>
        <v>242804.26</v>
      </c>
      <c r="E32" s="22">
        <f>[1]ALNS!AD202</f>
        <v>0</v>
      </c>
      <c r="F32" s="6">
        <f>[1]ALNS!AE202</f>
        <v>143.59599999999998</v>
      </c>
      <c r="G32" s="6">
        <f>'[1]PFB tests'!F30</f>
        <v>249623.04479999901</v>
      </c>
      <c r="H32" s="6">
        <f>'[1]PFB tests'!G30</f>
        <v>57.063172500002104</v>
      </c>
      <c r="I32" s="26">
        <f>(C32-G32)/G32</f>
        <v>-2.7316327326518657E-2</v>
      </c>
      <c r="J32" s="26">
        <f t="shared" si="8"/>
        <v>1.516439127179525</v>
      </c>
      <c r="K32" s="6" t="str">
        <f>'[1]Gurobi tests'!F31</f>
        <v>Infeasible</v>
      </c>
      <c r="L32" s="6">
        <f>'[1]Gurobi tests'!G31</f>
        <v>3716.9</v>
      </c>
      <c r="M32" s="27" t="s">
        <v>32</v>
      </c>
      <c r="N32" s="26" t="s">
        <v>32</v>
      </c>
      <c r="O32" s="26">
        <f t="shared" si="7"/>
        <v>-0.98068336516989973</v>
      </c>
      <c r="P32" s="14"/>
      <c r="Q32" s="20"/>
      <c r="R32" s="20"/>
      <c r="S32" s="14"/>
      <c r="T32" s="14"/>
      <c r="U32" s="14"/>
    </row>
    <row r="33" spans="1:21" x14ac:dyDescent="0.2">
      <c r="A33" s="19" t="s">
        <v>73</v>
      </c>
      <c r="B33" s="14" t="s">
        <v>289</v>
      </c>
      <c r="C33" s="6">
        <f>[1]ALNS!Z203</f>
        <v>277009.67000000004</v>
      </c>
      <c r="D33" s="6">
        <f>[1]ALNS!AA203</f>
        <v>276946.07</v>
      </c>
      <c r="E33" s="22">
        <f>[1]ALNS!AD203</f>
        <v>3.1438572755716938E-4</v>
      </c>
      <c r="F33" s="6">
        <f>[1]ALNS!AE203</f>
        <v>395.25199999999995</v>
      </c>
      <c r="G33" s="6" t="str">
        <f>'[1]PFB tests'!F31</f>
        <v>Infeasible</v>
      </c>
      <c r="H33" s="6">
        <f>'[1]PFB tests'!G31</f>
        <v>140.05325454200201</v>
      </c>
      <c r="I33" s="26" t="s">
        <v>32</v>
      </c>
      <c r="J33" s="26">
        <f t="shared" si="8"/>
        <v>1.8221550530370842</v>
      </c>
      <c r="K33" s="6" t="str">
        <f>'[1]Gurobi tests'!F32</f>
        <v>Infeasible</v>
      </c>
      <c r="L33" s="6">
        <f>'[1]Gurobi tests'!G32</f>
        <v>3756.26</v>
      </c>
      <c r="M33" s="27" t="s">
        <v>32</v>
      </c>
      <c r="N33" s="26" t="s">
        <v>32</v>
      </c>
      <c r="O33" s="26">
        <f>(F33/2-L33)/L33</f>
        <v>-0.9473875610314515</v>
      </c>
      <c r="P33" s="14"/>
      <c r="Q33" s="20"/>
      <c r="R33" s="20"/>
      <c r="S33" s="14"/>
      <c r="T33" s="14"/>
      <c r="U33" s="14"/>
    </row>
    <row r="34" spans="1:21" x14ac:dyDescent="0.2">
      <c r="A34" s="19" t="s">
        <v>74</v>
      </c>
      <c r="B34" s="14" t="s">
        <v>289</v>
      </c>
      <c r="C34" s="6">
        <f>[1]ALNS!Z204</f>
        <v>326045.68</v>
      </c>
      <c r="D34" s="6">
        <f>[1]ALNS!AA204</f>
        <v>325582.40999999997</v>
      </c>
      <c r="E34" s="22">
        <f>[1]ALNS!AD204</f>
        <v>2.9122104531512589E-3</v>
      </c>
      <c r="F34" s="6">
        <f>[1]ALNS!AE204</f>
        <v>557.45799999999997</v>
      </c>
      <c r="G34" s="6">
        <f>'[1]PFB tests'!F32</f>
        <v>331303.35699999903</v>
      </c>
      <c r="H34" s="6">
        <f>'[1]PFB tests'!G32</f>
        <v>301.447244125</v>
      </c>
      <c r="I34" s="26">
        <f>(C34-G34)/G34</f>
        <v>-1.5869676201316157E-2</v>
      </c>
      <c r="J34" s="26">
        <f t="shared" si="8"/>
        <v>0.84927217237667285</v>
      </c>
      <c r="K34" s="6" t="str">
        <f>'[1]Gurobi tests'!F33</f>
        <v>Infeasible</v>
      </c>
      <c r="L34" s="6">
        <f>'[1]Gurobi tests'!G33</f>
        <v>3835.8</v>
      </c>
      <c r="M34" s="27" t="s">
        <v>32</v>
      </c>
      <c r="N34" s="26" t="s">
        <v>32</v>
      </c>
      <c r="O34" s="26">
        <f>(F34/2-L34)/L34</f>
        <v>-0.92733484540382716</v>
      </c>
      <c r="P34" s="14"/>
      <c r="Q34" s="20"/>
      <c r="R34" s="20"/>
      <c r="S34" s="14"/>
      <c r="T34" s="14"/>
      <c r="U34" s="14"/>
    </row>
    <row r="35" spans="1:21" x14ac:dyDescent="0.2">
      <c r="A35" s="19" t="s">
        <v>75</v>
      </c>
      <c r="B35" s="14" t="s">
        <v>289</v>
      </c>
      <c r="C35" s="6">
        <f>[1]ALNS!Z205</f>
        <v>384240.04800000001</v>
      </c>
      <c r="D35" s="6">
        <f>[1]ALNS!AA205</f>
        <v>381644.72</v>
      </c>
      <c r="E35" s="22">
        <f>[1]ALNS!AD205</f>
        <v>7.0845759801858544E-3</v>
      </c>
      <c r="F35" s="6">
        <f>[1]ALNS!AE205</f>
        <v>920.17000000000007</v>
      </c>
      <c r="G35" s="6" t="str">
        <f>'[1]PFB tests'!F33</f>
        <v>Infeasible</v>
      </c>
      <c r="H35" s="6">
        <f>'[1]PFB tests'!G33</f>
        <v>816.19348145799802</v>
      </c>
      <c r="I35" s="26" t="s">
        <v>32</v>
      </c>
      <c r="J35" s="26">
        <f t="shared" si="8"/>
        <v>0.12739199822603922</v>
      </c>
      <c r="K35" s="14" t="s">
        <v>15</v>
      </c>
      <c r="L35" s="14" t="s">
        <v>32</v>
      </c>
      <c r="M35" s="27" t="s">
        <v>32</v>
      </c>
      <c r="N35" s="14" t="s">
        <v>32</v>
      </c>
      <c r="O35" s="26" t="s">
        <v>32</v>
      </c>
      <c r="P35" s="14"/>
      <c r="Q35" s="20"/>
      <c r="R35" s="20"/>
      <c r="S35" s="14"/>
      <c r="T35" s="14"/>
      <c r="U35" s="14"/>
    </row>
    <row r="36" spans="1:21" x14ac:dyDescent="0.2">
      <c r="A36" s="19" t="s">
        <v>76</v>
      </c>
      <c r="B36" s="14" t="s">
        <v>289</v>
      </c>
      <c r="C36" s="6">
        <f>[1]ALNS!Z206</f>
        <v>412026.08600000001</v>
      </c>
      <c r="D36" s="6">
        <f>[1]ALNS!AA206</f>
        <v>411718.11</v>
      </c>
      <c r="E36" s="22">
        <f>[1]ALNS!AD206</f>
        <v>4.7130816245388886E-4</v>
      </c>
      <c r="F36" s="6">
        <f>[1]ALNS!AE206</f>
        <v>1421.44</v>
      </c>
      <c r="G36" s="6">
        <f>'[1]PFB tests'!F34</f>
        <v>426539.08048599103</v>
      </c>
      <c r="H36" s="6">
        <f>'[1]PFB tests'!G34</f>
        <v>1826.17517612499</v>
      </c>
      <c r="I36" s="26">
        <f>(C36-G36)/G36</f>
        <v>-3.4025005327659945E-2</v>
      </c>
      <c r="J36" s="26">
        <f t="shared" si="8"/>
        <v>-0.22162998458001623</v>
      </c>
      <c r="K36" s="14" t="s">
        <v>15</v>
      </c>
      <c r="L36" s="14" t="s">
        <v>32</v>
      </c>
      <c r="M36" s="27" t="s">
        <v>32</v>
      </c>
      <c r="N36" s="14" t="s">
        <v>32</v>
      </c>
      <c r="O36" s="26" t="s">
        <v>32</v>
      </c>
      <c r="P36" s="14"/>
      <c r="Q36" s="20"/>
      <c r="R36" s="20"/>
      <c r="S36" s="14"/>
      <c r="T36" s="14"/>
      <c r="U36" s="14"/>
    </row>
    <row r="37" spans="1:21" x14ac:dyDescent="0.2">
      <c r="A37" s="19" t="s">
        <v>77</v>
      </c>
      <c r="B37" s="14" t="s">
        <v>289</v>
      </c>
      <c r="C37" s="6">
        <f>[1]ALNS!Z207</f>
        <v>442039.52400000003</v>
      </c>
      <c r="D37" s="6">
        <f>[1]ALNS!AA207</f>
        <v>441119.23</v>
      </c>
      <c r="E37" s="22">
        <f>[1]ALNS!AD207</f>
        <v>1.9449825387001991E-3</v>
      </c>
      <c r="F37" s="6">
        <f>[1]ALNS!AE207</f>
        <v>1721.2819999999999</v>
      </c>
      <c r="G37" s="6" t="str">
        <f>'[1]PFB tests'!F35</f>
        <v>Infeasible</v>
      </c>
      <c r="H37" s="6" t="str">
        <f>'[1]PFB tests'!G35</f>
        <v>-</v>
      </c>
      <c r="I37" s="26" t="s">
        <v>32</v>
      </c>
      <c r="J37" s="26" t="s">
        <v>32</v>
      </c>
      <c r="K37" s="14" t="s">
        <v>15</v>
      </c>
      <c r="L37" s="14" t="s">
        <v>32</v>
      </c>
      <c r="M37" s="27" t="s">
        <v>32</v>
      </c>
      <c r="N37" s="14" t="s">
        <v>32</v>
      </c>
      <c r="O37" s="14" t="s">
        <v>32</v>
      </c>
      <c r="P37" s="14"/>
      <c r="Q37" s="20"/>
      <c r="R37" s="20"/>
      <c r="S37" s="14"/>
      <c r="T37" s="14"/>
      <c r="U37" s="14"/>
    </row>
    <row r="38" spans="1:21" x14ac:dyDescent="0.2">
      <c r="A38" s="19" t="s">
        <v>78</v>
      </c>
      <c r="B38" s="14" t="s">
        <v>289</v>
      </c>
      <c r="C38" s="6">
        <f>[1]ALNS!Z208</f>
        <v>467977.79599999997</v>
      </c>
      <c r="D38" s="6">
        <f>[1]ALNS!AA208</f>
        <v>465453.46</v>
      </c>
      <c r="E38" s="22">
        <f>[1]ALNS!AD208</f>
        <v>4.322814651956098E-3</v>
      </c>
      <c r="F38" s="6">
        <f>[1]ALNS!AE208</f>
        <v>1603.992</v>
      </c>
      <c r="G38" s="6" t="s">
        <v>15</v>
      </c>
      <c r="H38" s="6" t="s">
        <v>32</v>
      </c>
      <c r="I38" s="26" t="s">
        <v>32</v>
      </c>
      <c r="J38" s="26" t="s">
        <v>32</v>
      </c>
      <c r="K38" s="14" t="s">
        <v>15</v>
      </c>
      <c r="L38" s="14" t="s">
        <v>32</v>
      </c>
      <c r="M38" s="27" t="s">
        <v>32</v>
      </c>
      <c r="N38" s="14" t="s">
        <v>32</v>
      </c>
      <c r="O38" s="14" t="s">
        <v>32</v>
      </c>
      <c r="P38" s="14"/>
      <c r="Q38" s="20"/>
      <c r="R38" s="20"/>
      <c r="S38" s="14"/>
      <c r="T38" s="14"/>
      <c r="U38" s="14"/>
    </row>
    <row r="39" spans="1:21" x14ac:dyDescent="0.2">
      <c r="A39" s="14"/>
      <c r="B39" s="14"/>
      <c r="C39" s="14"/>
      <c r="D39" s="14"/>
      <c r="E39" s="14"/>
      <c r="F39" s="14"/>
      <c r="G39" s="14"/>
      <c r="H39" s="14"/>
      <c r="I39" s="26"/>
      <c r="J39" s="26"/>
      <c r="K39" s="14"/>
      <c r="L39" s="14"/>
      <c r="M39" s="27"/>
      <c r="N39" s="26"/>
      <c r="O39" s="26"/>
      <c r="P39" s="14"/>
      <c r="Q39" s="20"/>
      <c r="R39" s="20"/>
      <c r="S39" s="14"/>
      <c r="T39" s="14"/>
      <c r="U39" s="14"/>
    </row>
    <row r="40" spans="1:21" x14ac:dyDescent="0.2">
      <c r="A40" s="19" t="s">
        <v>79</v>
      </c>
      <c r="B40" s="14" t="s">
        <v>289</v>
      </c>
      <c r="C40" s="28">
        <f>[1]ALNS!Z210</f>
        <v>49863.49</v>
      </c>
      <c r="D40" s="28">
        <f>[1]ALNS!AA210</f>
        <v>49863.49</v>
      </c>
      <c r="E40" s="29">
        <f>[1]ALNS!AD210</f>
        <v>0</v>
      </c>
      <c r="F40" s="28">
        <f>[1]ALNS!AE210</f>
        <v>14.602</v>
      </c>
      <c r="G40" s="28">
        <f>'[1]PFB tests'!F38</f>
        <v>49863.492055000002</v>
      </c>
      <c r="H40" s="28">
        <f>'[1]PFB tests'!G38</f>
        <v>15.562669292001299</v>
      </c>
      <c r="I40" s="30">
        <f t="shared" ref="I40:I46" si="9">(C40-G40)/G40</f>
        <v>-4.1212516809057745E-8</v>
      </c>
      <c r="J40" s="30">
        <f>(F40-H40)/H40</f>
        <v>-6.1729082201537971E-2</v>
      </c>
      <c r="K40" s="28">
        <f>'[1]Gurobi tests'!F39</f>
        <v>49863.491999999998</v>
      </c>
      <c r="L40" s="28">
        <f>'[1]Gurobi tests'!G39</f>
        <v>23.73</v>
      </c>
      <c r="M40" s="31">
        <f>'[1]Gurobi tests'!H39/100</f>
        <v>0</v>
      </c>
      <c r="N40" s="30">
        <f t="shared" ref="N40:N43" si="10">(C40-K40)/K40</f>
        <v>-4.0109505375344622E-8</v>
      </c>
      <c r="O40" s="30">
        <f t="shared" ref="O40:O43" si="11">(F40/2-L40)/L40</f>
        <v>-0.69233038348082598</v>
      </c>
      <c r="P40" s="14"/>
      <c r="Q40" s="20"/>
      <c r="R40" s="20"/>
      <c r="S40" s="14"/>
      <c r="T40" s="14"/>
      <c r="U40" s="14"/>
    </row>
    <row r="41" spans="1:21" x14ac:dyDescent="0.2">
      <c r="A41" s="19" t="s">
        <v>80</v>
      </c>
      <c r="B41" s="14" t="s">
        <v>289</v>
      </c>
      <c r="C41" s="28">
        <f>[1]ALNS!Z211</f>
        <v>90444.76</v>
      </c>
      <c r="D41" s="28">
        <f>[1]ALNS!AA211</f>
        <v>90444.76</v>
      </c>
      <c r="E41" s="29">
        <f>[1]ALNS!AD211</f>
        <v>0</v>
      </c>
      <c r="F41" s="28">
        <f>[1]ALNS!AE211</f>
        <v>20.996000000000002</v>
      </c>
      <c r="G41" s="28">
        <f>'[1]PFB tests'!F39</f>
        <v>90444.7561099999</v>
      </c>
      <c r="H41" s="28">
        <f>'[1]PFB tests'!G39</f>
        <v>23.4507807910013</v>
      </c>
      <c r="I41" s="30">
        <f t="shared" si="9"/>
        <v>4.300968084663914E-8</v>
      </c>
      <c r="J41" s="30">
        <f t="shared" ref="J41:J46" si="12">(F41-H41)/H41</f>
        <v>-0.10467799826704549</v>
      </c>
      <c r="K41" s="28">
        <f>'[1]Gurobi tests'!F40</f>
        <v>90444.754678114594</v>
      </c>
      <c r="L41" s="28">
        <f>'[1]Gurobi tests'!G40</f>
        <v>186.81</v>
      </c>
      <c r="M41" s="31">
        <f>'[1]Gurobi tests'!H40/100</f>
        <v>0</v>
      </c>
      <c r="N41" s="30">
        <f t="shared" si="10"/>
        <v>5.8841282945125247E-8</v>
      </c>
      <c r="O41" s="30">
        <f t="shared" si="11"/>
        <v>-0.94380386488945989</v>
      </c>
      <c r="P41" s="14"/>
      <c r="Q41" s="20"/>
      <c r="R41" s="20"/>
      <c r="S41" s="14"/>
      <c r="T41" s="14"/>
      <c r="U41" s="14"/>
    </row>
    <row r="42" spans="1:21" x14ac:dyDescent="0.2">
      <c r="A42" s="19" t="s">
        <v>81</v>
      </c>
      <c r="B42" s="14" t="s">
        <v>289</v>
      </c>
      <c r="C42" s="28">
        <f>[1]ALNS!Z212</f>
        <v>114451.81000000001</v>
      </c>
      <c r="D42" s="28">
        <f>[1]ALNS!AA212</f>
        <v>114451.81</v>
      </c>
      <c r="E42" s="29">
        <f>[1]ALNS!AD212</f>
        <v>1.4215184387840897E-16</v>
      </c>
      <c r="F42" s="28">
        <f>[1]ALNS!AE212</f>
        <v>27.333999999999996</v>
      </c>
      <c r="G42" s="28">
        <f>'[1]PFB tests'!F40</f>
        <v>114742.020055</v>
      </c>
      <c r="H42" s="28">
        <f>'[1]PFB tests'!G40</f>
        <v>27.943214916998802</v>
      </c>
      <c r="I42" s="30">
        <f t="shared" si="9"/>
        <v>-2.5292395485183236E-3</v>
      </c>
      <c r="J42" s="30">
        <f t="shared" si="12"/>
        <v>-2.1801890684675636E-2</v>
      </c>
      <c r="K42" s="28">
        <f>'[1]Gurobi tests'!F41</f>
        <v>114451.811999999</v>
      </c>
      <c r="L42" s="28">
        <f>'[1]Gurobi tests'!G41</f>
        <v>210.77</v>
      </c>
      <c r="M42" s="31">
        <f>'[1]Gurobi tests'!H41/100</f>
        <v>0</v>
      </c>
      <c r="N42" s="30">
        <f t="shared" si="10"/>
        <v>-1.7474594365088451E-8</v>
      </c>
      <c r="O42" s="30">
        <f t="shared" si="11"/>
        <v>-0.93515680599705842</v>
      </c>
      <c r="P42" s="14"/>
      <c r="Q42" s="20"/>
      <c r="R42" s="20"/>
      <c r="S42" s="14"/>
      <c r="T42" s="14"/>
      <c r="U42" s="14"/>
    </row>
    <row r="43" spans="1:21" x14ac:dyDescent="0.2">
      <c r="A43" s="19" t="s">
        <v>82</v>
      </c>
      <c r="B43" s="14" t="s">
        <v>289</v>
      </c>
      <c r="C43" s="28">
        <f>[1]ALNS!Z213</f>
        <v>142520.56</v>
      </c>
      <c r="D43" s="28">
        <f>[1]ALNS!AA213</f>
        <v>142520.56</v>
      </c>
      <c r="E43" s="29">
        <f>[1]ALNS!AD213</f>
        <v>0</v>
      </c>
      <c r="F43" s="28">
        <f>[1]ALNS!AE213</f>
        <v>35.858000000000004</v>
      </c>
      <c r="G43" s="28">
        <f>'[1]PFB tests'!F41</f>
        <v>143127.348</v>
      </c>
      <c r="H43" s="28">
        <f>'[1]PFB tests'!G41</f>
        <v>48.606636625001499</v>
      </c>
      <c r="I43" s="30">
        <f t="shared" si="9"/>
        <v>-4.2394972622562706E-3</v>
      </c>
      <c r="J43" s="30">
        <f t="shared" si="12"/>
        <v>-0.26228180985565369</v>
      </c>
      <c r="K43" s="28">
        <f>'[1]Gurobi tests'!F42</f>
        <v>142408.72438350701</v>
      </c>
      <c r="L43" s="28">
        <f>'[1]Gurobi tests'!G42</f>
        <v>3697.67</v>
      </c>
      <c r="M43" s="31">
        <f>'[1]Gurobi tests'!H42/100</f>
        <v>4.1273144722666896E-2</v>
      </c>
      <c r="N43" s="30">
        <f t="shared" si="10"/>
        <v>7.8531436172276129E-4</v>
      </c>
      <c r="O43" s="30">
        <f t="shared" si="11"/>
        <v>-0.99515127093548095</v>
      </c>
      <c r="P43" s="14"/>
      <c r="Q43" s="20"/>
      <c r="R43" s="20"/>
      <c r="S43" s="14"/>
      <c r="T43" s="14"/>
      <c r="U43" s="14"/>
    </row>
    <row r="44" spans="1:21" x14ac:dyDescent="0.2">
      <c r="A44" s="19" t="s">
        <v>83</v>
      </c>
      <c r="B44" s="14" t="s">
        <v>289</v>
      </c>
      <c r="C44" s="28">
        <f>[1]ALNS!Z214</f>
        <v>167112.34</v>
      </c>
      <c r="D44" s="28">
        <f>[1]ALNS!AA214</f>
        <v>167112.34</v>
      </c>
      <c r="E44" s="29">
        <f>[1]ALNS!AD214</f>
        <v>0</v>
      </c>
      <c r="F44" s="28">
        <f>[1]ALNS!AE214</f>
        <v>52.568000000000005</v>
      </c>
      <c r="G44" s="28">
        <f>'[1]PFB tests'!F42</f>
        <v>167489.50799999901</v>
      </c>
      <c r="H44" s="28">
        <f>'[1]PFB tests'!G42</f>
        <v>133.24158974999901</v>
      </c>
      <c r="I44" s="30">
        <f t="shared" si="9"/>
        <v>-2.2518903094456391E-3</v>
      </c>
      <c r="J44" s="30">
        <f t="shared" si="12"/>
        <v>-0.60546853202042039</v>
      </c>
      <c r="K44" s="28">
        <f>'[1]Gurobi tests'!F43</f>
        <v>168646.34375563599</v>
      </c>
      <c r="L44" s="28">
        <f>'[1]Gurobi tests'!G43</f>
        <v>3756.33</v>
      </c>
      <c r="M44" s="31">
        <f>'[1]Gurobi tests'!H43/100</f>
        <v>0.13212326738670099</v>
      </c>
      <c r="N44" s="30">
        <f>(C44-K44)/K44</f>
        <v>-9.0959799155724327E-3</v>
      </c>
      <c r="O44" s="30">
        <f>(F44/2-L44)/L44</f>
        <v>-0.99300274470027927</v>
      </c>
      <c r="P44" s="14"/>
      <c r="Q44" s="20"/>
      <c r="R44" s="20"/>
      <c r="S44" s="14"/>
      <c r="T44" s="14"/>
      <c r="U44" s="14"/>
    </row>
    <row r="45" spans="1:21" x14ac:dyDescent="0.2">
      <c r="A45" s="19" t="s">
        <v>84</v>
      </c>
      <c r="B45" s="14" t="s">
        <v>289</v>
      </c>
      <c r="C45" s="28">
        <f>[1]ALNS!Z215</f>
        <v>181844.71</v>
      </c>
      <c r="D45" s="28">
        <f>[1]ALNS!AA215</f>
        <v>181844.71</v>
      </c>
      <c r="E45" s="29">
        <f>[1]ALNS!AD215</f>
        <v>0</v>
      </c>
      <c r="F45" s="28">
        <f>[1]ALNS!AE215</f>
        <v>60.576000000000001</v>
      </c>
      <c r="G45" s="28">
        <f>'[1]PFB tests'!F43</f>
        <v>182135.16005499999</v>
      </c>
      <c r="H45" s="28">
        <f>'[1]PFB tests'!G43</f>
        <v>482.785648500001</v>
      </c>
      <c r="I45" s="30">
        <f t="shared" si="9"/>
        <v>-1.5946951424002135E-3</v>
      </c>
      <c r="J45" s="30">
        <f t="shared" si="12"/>
        <v>-0.87452816754556051</v>
      </c>
      <c r="K45" s="28">
        <f>'[1]Gurobi tests'!F44</f>
        <v>183776.27853184901</v>
      </c>
      <c r="L45" s="28">
        <f>'[1]Gurobi tests'!G44</f>
        <v>3797.29</v>
      </c>
      <c r="M45" s="31">
        <f>'[1]Gurobi tests'!H44/100</f>
        <v>0.10209965643453801</v>
      </c>
      <c r="N45" s="30">
        <f>(C45-K45)/K45</f>
        <v>-1.0510434465644418E-2</v>
      </c>
      <c r="O45" s="30">
        <f>(F45/2-L45)/L45</f>
        <v>-0.99202378538378688</v>
      </c>
      <c r="P45" s="14"/>
      <c r="Q45" s="20"/>
      <c r="R45" s="20"/>
      <c r="S45" s="14"/>
      <c r="T45" s="14"/>
      <c r="U45" s="14"/>
    </row>
    <row r="46" spans="1:21" x14ac:dyDescent="0.2">
      <c r="A46" s="19" t="s">
        <v>85</v>
      </c>
      <c r="B46" s="14" t="s">
        <v>289</v>
      </c>
      <c r="C46" s="28">
        <f>[1]ALNS!Z216</f>
        <v>213881.83</v>
      </c>
      <c r="D46" s="28">
        <f>[1]ALNS!AA216</f>
        <v>213881.83</v>
      </c>
      <c r="E46" s="29">
        <f>[1]ALNS!AD216</f>
        <v>0</v>
      </c>
      <c r="F46" s="28">
        <f>[1]ALNS!AE216</f>
        <v>87.224000000000018</v>
      </c>
      <c r="G46" s="28">
        <f>'[1]PFB tests'!F44</f>
        <v>213770.00416499999</v>
      </c>
      <c r="H46" s="28">
        <f>'[1]PFB tests'!G44</f>
        <v>1280.5839155000001</v>
      </c>
      <c r="I46" s="30">
        <f t="shared" si="9"/>
        <v>5.2311284474543208E-4</v>
      </c>
      <c r="J46" s="30">
        <f t="shared" si="12"/>
        <v>-0.93188732191287627</v>
      </c>
      <c r="K46" s="28">
        <f>'[1]Gurobi tests'!F45</f>
        <v>221993.07545613</v>
      </c>
      <c r="L46" s="28">
        <f>'[1]Gurobi tests'!G45</f>
        <v>3929.93</v>
      </c>
      <c r="M46" s="31">
        <f>'[1]Gurobi tests'!H45/100</f>
        <v>0.18196758464328799</v>
      </c>
      <c r="N46" s="30">
        <f>(C46-K46)/K46</f>
        <v>-3.6538281383163888E-2</v>
      </c>
      <c r="O46" s="30">
        <f>(F46/2-L46)/L46</f>
        <v>-0.98890260131859853</v>
      </c>
      <c r="P46" s="14"/>
      <c r="Q46" s="20"/>
      <c r="R46" s="20"/>
      <c r="S46" s="14"/>
      <c r="T46" s="14"/>
      <c r="U46" s="14"/>
    </row>
    <row r="47" spans="1:21" ht="17" x14ac:dyDescent="0.2">
      <c r="A47" s="19" t="s">
        <v>86</v>
      </c>
      <c r="B47" s="14" t="s">
        <v>289</v>
      </c>
      <c r="C47" s="28">
        <f>[1]ALNS!Z217</f>
        <v>239407.72800000003</v>
      </c>
      <c r="D47" s="28">
        <f>[1]ALNS!AA217</f>
        <v>239161.19</v>
      </c>
      <c r="E47" s="29">
        <f>[1]ALNS!AD217</f>
        <v>1.7397762267352473E-3</v>
      </c>
      <c r="F47" s="28">
        <f>[1]ALNS!AE217</f>
        <v>81.77</v>
      </c>
      <c r="G47" s="28" t="str">
        <f>'[1]PFB tests'!F45</f>
        <v>Infeasible</v>
      </c>
      <c r="H47" s="28" t="str">
        <f>'[1]PFB tests'!G45</f>
        <v>-</v>
      </c>
      <c r="I47" s="30" t="s">
        <v>32</v>
      </c>
      <c r="J47" s="30" t="s">
        <v>32</v>
      </c>
      <c r="K47" s="28">
        <f>'[1]Gurobi tests'!F46</f>
        <v>267012.01133645</v>
      </c>
      <c r="L47" s="28">
        <f>'[1]Gurobi tests'!G46</f>
        <v>4075.54</v>
      </c>
      <c r="M47" s="31">
        <f>'[1]Gurobi tests'!H46/100</f>
        <v>0.24511940173077901</v>
      </c>
      <c r="N47" s="30">
        <f>(C47-K47)/K47</f>
        <v>-0.10338217819597274</v>
      </c>
      <c r="O47" s="30">
        <f>(F47/2-L47)/L47</f>
        <v>-0.98996820053293544</v>
      </c>
      <c r="P47" s="14"/>
      <c r="Q47" s="20"/>
      <c r="R47" s="20"/>
      <c r="S47" s="14"/>
      <c r="T47" s="14"/>
      <c r="U47" s="14"/>
    </row>
    <row r="48" spans="1:21" ht="17" x14ac:dyDescent="0.2">
      <c r="A48" s="19" t="s">
        <v>87</v>
      </c>
      <c r="B48" s="14" t="s">
        <v>289</v>
      </c>
      <c r="C48" s="28">
        <f>[1]ALNS!Z218</f>
        <v>259323.86800000002</v>
      </c>
      <c r="D48" s="28">
        <f>[1]ALNS!AA218</f>
        <v>259067.51</v>
      </c>
      <c r="E48" s="29">
        <f>[1]ALNS!AD218</f>
        <v>2.1870088987099119E-3</v>
      </c>
      <c r="F48" s="28">
        <f>[1]ALNS!AE218</f>
        <v>116.44800000000001</v>
      </c>
      <c r="G48" s="28" t="s">
        <v>15</v>
      </c>
      <c r="H48" s="28" t="s">
        <v>32</v>
      </c>
      <c r="I48" s="30" t="s">
        <v>32</v>
      </c>
      <c r="J48" s="30" t="s">
        <v>32</v>
      </c>
      <c r="K48" s="28">
        <f>'[1]Gurobi tests'!F47</f>
        <v>302979.29908499698</v>
      </c>
      <c r="L48" s="28">
        <f>'[1]Gurobi tests'!G47</f>
        <v>4184.96</v>
      </c>
      <c r="M48" s="31">
        <f>'[1]Gurobi tests'!H47/100</f>
        <v>0.27643040691380499</v>
      </c>
      <c r="N48" s="30">
        <f>(C48-K48)/K48</f>
        <v>-0.14408717432787377</v>
      </c>
      <c r="O48" s="30">
        <f>(F48/2-L48)/L48</f>
        <v>-0.98608732222052298</v>
      </c>
      <c r="P48" s="14"/>
      <c r="Q48" s="20"/>
      <c r="R48" s="20"/>
      <c r="S48" s="14"/>
      <c r="T48" s="14"/>
      <c r="U48" s="14"/>
    </row>
    <row r="49" spans="1:21" x14ac:dyDescent="0.2">
      <c r="A49" s="19" t="s">
        <v>88</v>
      </c>
      <c r="B49" s="14" t="s">
        <v>289</v>
      </c>
      <c r="C49" s="28">
        <f>[1]ALNS!Z219</f>
        <v>287455.06800000003</v>
      </c>
      <c r="D49" s="28">
        <f>[1]ALNS!AA219</f>
        <v>287379.5</v>
      </c>
      <c r="E49" s="29">
        <f>[1]ALNS!AD219</f>
        <v>1.4695791076097987E-4</v>
      </c>
      <c r="F49" s="28">
        <f>[1]ALNS!AE219</f>
        <v>104.81599999999999</v>
      </c>
      <c r="G49" s="6" t="s">
        <v>15</v>
      </c>
      <c r="H49" s="6" t="s">
        <v>32</v>
      </c>
      <c r="I49" s="26" t="s">
        <v>32</v>
      </c>
      <c r="J49" s="26" t="s">
        <v>32</v>
      </c>
      <c r="K49" s="14" t="s">
        <v>15</v>
      </c>
      <c r="L49" s="14" t="s">
        <v>32</v>
      </c>
      <c r="M49" s="27" t="s">
        <v>32</v>
      </c>
      <c r="N49" s="14" t="s">
        <v>32</v>
      </c>
      <c r="O49" s="14" t="s">
        <v>32</v>
      </c>
      <c r="P49" s="14"/>
      <c r="Q49" s="20"/>
      <c r="R49" s="20"/>
      <c r="S49" s="14"/>
      <c r="T49" s="14"/>
      <c r="U49" s="14"/>
    </row>
    <row r="50" spans="1:21" x14ac:dyDescent="0.2">
      <c r="A50" s="19"/>
      <c r="B50" s="14"/>
      <c r="C50" s="28"/>
      <c r="D50" s="28"/>
      <c r="E50" s="29"/>
      <c r="F50" s="28"/>
      <c r="G50" s="32"/>
      <c r="H50" s="32"/>
      <c r="I50" s="30"/>
      <c r="J50" s="30"/>
      <c r="K50" s="32"/>
      <c r="L50" s="32"/>
      <c r="M50" s="31"/>
      <c r="N50" s="30"/>
      <c r="O50" s="30"/>
      <c r="P50" s="14"/>
      <c r="Q50" s="20"/>
      <c r="R50" s="20"/>
      <c r="S50" s="14"/>
      <c r="T50" s="14"/>
      <c r="U50" s="14"/>
    </row>
    <row r="51" spans="1:21" x14ac:dyDescent="0.2">
      <c r="A51" s="19" t="s">
        <v>89</v>
      </c>
      <c r="B51" s="14" t="s">
        <v>289</v>
      </c>
      <c r="C51" s="28">
        <f>[1]ALNS!Z221</f>
        <v>64370.67</v>
      </c>
      <c r="D51" s="28">
        <f>[1]ALNS!AA221</f>
        <v>64370.67</v>
      </c>
      <c r="E51" s="29">
        <f>[1]ALNS!AD221</f>
        <v>0</v>
      </c>
      <c r="F51" s="28">
        <f>[1]ALNS!AE221</f>
        <v>23.256</v>
      </c>
      <c r="G51" s="28">
        <f>'[1]PFB tests'!F49</f>
        <v>64370.666749999997</v>
      </c>
      <c r="H51" s="28">
        <f>'[1]PFB tests'!G49</f>
        <v>16.8706063339996</v>
      </c>
      <c r="I51" s="30">
        <f t="shared" ref="I51:I57" si="13">(C51-G51)/G51</f>
        <v>5.0488835453480946E-8</v>
      </c>
      <c r="J51" s="30">
        <f>(F51-H51)/H51</f>
        <v>0.37849224500792333</v>
      </c>
      <c r="K51" s="28">
        <f>'[1]Gurobi tests'!F50</f>
        <v>64370.666749999997</v>
      </c>
      <c r="L51" s="28">
        <f>'[1]Gurobi tests'!G50</f>
        <v>45.38</v>
      </c>
      <c r="M51" s="31">
        <f>'[1]Gurobi tests'!H50/100</f>
        <v>0</v>
      </c>
      <c r="N51" s="30">
        <f>(C51-K51)/K51</f>
        <v>5.0488835453480946E-8</v>
      </c>
      <c r="O51" s="30">
        <f t="shared" ref="O51:O54" si="14">(F51/2-L51)/L51</f>
        <v>-0.74376377258704274</v>
      </c>
      <c r="P51" s="14"/>
      <c r="Q51" s="20"/>
      <c r="R51" s="20"/>
      <c r="S51" s="14"/>
      <c r="T51" s="14"/>
      <c r="U51" s="14"/>
    </row>
    <row r="52" spans="1:21" x14ac:dyDescent="0.2">
      <c r="A52" s="19" t="s">
        <v>90</v>
      </c>
      <c r="B52" s="14" t="s">
        <v>289</v>
      </c>
      <c r="C52" s="28">
        <f>[1]ALNS!Z222</f>
        <v>118922.13999999998</v>
      </c>
      <c r="D52" s="28">
        <f>[1]ALNS!AA222</f>
        <v>118922.14</v>
      </c>
      <c r="E52" s="29">
        <f>[1]ALNS!AD222</f>
        <v>1.3680830017624416E-16</v>
      </c>
      <c r="F52" s="28">
        <f>[1]ALNS!AE222</f>
        <v>47.410000000000004</v>
      </c>
      <c r="G52" s="28">
        <f>'[1]PFB tests'!F50</f>
        <v>119164.232249999</v>
      </c>
      <c r="H52" s="28">
        <f>'[1]PFB tests'!G50</f>
        <v>38.065753917002397</v>
      </c>
      <c r="I52" s="30">
        <f t="shared" si="13"/>
        <v>-2.0315848592144478E-3</v>
      </c>
      <c r="J52" s="30">
        <f t="shared" ref="J52:J57" si="15">(F52-H52)/H52</f>
        <v>0.24547644855193368</v>
      </c>
      <c r="K52" s="28">
        <f>'[1]Gurobi tests'!F51</f>
        <v>118922.131925223</v>
      </c>
      <c r="L52" s="28">
        <f>'[1]Gurobi tests'!G51</f>
        <v>2995.84</v>
      </c>
      <c r="M52" s="31">
        <f>'[1]Gurobi tests'!H51/100</f>
        <v>0</v>
      </c>
      <c r="N52" s="30">
        <f>(C52-K52)/K52</f>
        <v>6.7899699171359198E-8</v>
      </c>
      <c r="O52" s="30">
        <f t="shared" si="14"/>
        <v>-0.99208736114078189</v>
      </c>
      <c r="P52" s="14"/>
      <c r="Q52" s="20"/>
      <c r="R52" s="20"/>
      <c r="S52" s="14"/>
      <c r="T52" s="14"/>
      <c r="U52" s="14"/>
    </row>
    <row r="53" spans="1:21" x14ac:dyDescent="0.2">
      <c r="A53" s="19" t="s">
        <v>91</v>
      </c>
      <c r="B53" s="14" t="s">
        <v>289</v>
      </c>
      <c r="C53" s="28">
        <f>[1]ALNS!Z223</f>
        <v>174378.77</v>
      </c>
      <c r="D53" s="28">
        <f>[1]ALNS!AA223</f>
        <v>174258.71</v>
      </c>
      <c r="E53" s="29">
        <f>[1]ALNS!AD223</f>
        <v>9.4276915495603291E-4</v>
      </c>
      <c r="F53" s="28">
        <f>[1]ALNS!AE223</f>
        <v>87.805999999999997</v>
      </c>
      <c r="G53" s="28">
        <f>'[1]PFB tests'!F51</f>
        <v>175202.16675</v>
      </c>
      <c r="H53" s="28">
        <f>'[1]PFB tests'!G51</f>
        <v>38.627970166999098</v>
      </c>
      <c r="I53" s="30">
        <f t="shared" si="13"/>
        <v>-4.6996950167570595E-3</v>
      </c>
      <c r="J53" s="30">
        <f t="shared" si="15"/>
        <v>1.2731197010971858</v>
      </c>
      <c r="K53" s="28">
        <f>'[1]Gurobi tests'!F52</f>
        <v>189389.51324999501</v>
      </c>
      <c r="L53" s="28">
        <f>'[1]Gurobi tests'!G52</f>
        <v>3642.84</v>
      </c>
      <c r="M53" s="31">
        <f>'[1]Gurobi tests'!H52/100</f>
        <v>0.324791591725479</v>
      </c>
      <c r="N53" s="30">
        <f>(C53-K53)/K53</f>
        <v>-7.9258576636082143E-2</v>
      </c>
      <c r="O53" s="30">
        <f t="shared" si="14"/>
        <v>-0.98794813936379311</v>
      </c>
      <c r="P53" s="14"/>
      <c r="Q53" s="20"/>
      <c r="R53" s="20"/>
      <c r="S53" s="14"/>
      <c r="T53" s="14"/>
      <c r="U53" s="14"/>
    </row>
    <row r="54" spans="1:21" x14ac:dyDescent="0.2">
      <c r="A54" s="19" t="s">
        <v>92</v>
      </c>
      <c r="B54" s="14" t="s">
        <v>289</v>
      </c>
      <c r="C54" s="28">
        <f>[1]ALNS!Z224</f>
        <v>192615.08199999999</v>
      </c>
      <c r="D54" s="28">
        <f>[1]ALNS!AA224</f>
        <v>191610.21</v>
      </c>
      <c r="E54" s="29">
        <f>[1]ALNS!AD224</f>
        <v>7.2255675403740593E-3</v>
      </c>
      <c r="F54" s="28">
        <f>[1]ALNS!AE224</f>
        <v>124.1</v>
      </c>
      <c r="G54" s="28">
        <f>'[1]PFB tests'!F52</f>
        <v>192131.12524999899</v>
      </c>
      <c r="H54" s="28">
        <f>'[1]PFB tests'!G52</f>
        <v>100.43715024999899</v>
      </c>
      <c r="I54" s="30">
        <f t="shared" si="13"/>
        <v>2.518887813576703E-3</v>
      </c>
      <c r="J54" s="30">
        <f t="shared" si="15"/>
        <v>0.23559857772847592</v>
      </c>
      <c r="K54" s="28">
        <f>'[1]Gurobi tests'!F53</f>
        <v>199127.461500003</v>
      </c>
      <c r="L54" s="28">
        <f>'[1]Gurobi tests'!G53</f>
        <v>3698.57</v>
      </c>
      <c r="M54" s="31">
        <f>'[1]Gurobi tests'!H53/100</f>
        <v>0.22081176102373198</v>
      </c>
      <c r="N54" s="30">
        <f>(C54-K54)/K54</f>
        <v>-3.270457751505515E-2</v>
      </c>
      <c r="O54" s="30">
        <f t="shared" si="14"/>
        <v>-0.98322324574092146</v>
      </c>
      <c r="P54" s="14"/>
      <c r="Q54" s="20"/>
      <c r="R54" s="20"/>
      <c r="S54" s="14"/>
      <c r="T54" s="14"/>
      <c r="U54" s="14"/>
    </row>
    <row r="55" spans="1:21" ht="17" x14ac:dyDescent="0.2">
      <c r="A55" s="19" t="s">
        <v>93</v>
      </c>
      <c r="B55" s="14" t="s">
        <v>289</v>
      </c>
      <c r="C55" s="28">
        <f>[1]ALNS!Z225</f>
        <v>223261.62999999998</v>
      </c>
      <c r="D55" s="28">
        <f>[1]ALNS!AA225</f>
        <v>223261.63</v>
      </c>
      <c r="E55" s="29">
        <f>[1]ALNS!AD225</f>
        <v>1.4574412832801885E-16</v>
      </c>
      <c r="F55" s="28">
        <f>[1]ALNS!AE225</f>
        <v>211.054</v>
      </c>
      <c r="G55" s="28">
        <f>'[1]PFB tests'!F53</f>
        <v>223261.634499999</v>
      </c>
      <c r="H55" s="28">
        <f>'[1]PFB tests'!G53</f>
        <v>288.03864354199999</v>
      </c>
      <c r="I55" s="30">
        <f t="shared" si="13"/>
        <v>-2.0155720128804765E-8</v>
      </c>
      <c r="J55" s="30">
        <f t="shared" si="15"/>
        <v>-0.26727192780566811</v>
      </c>
      <c r="K55" s="28" t="str">
        <f>'[1]Gurobi tests'!F54</f>
        <v>Infeasible</v>
      </c>
      <c r="L55" s="28">
        <f>'[1]Gurobi tests'!G54</f>
        <v>3754.65</v>
      </c>
      <c r="M55" s="31" t="s">
        <v>32</v>
      </c>
      <c r="N55" s="30" t="s">
        <v>32</v>
      </c>
      <c r="O55" s="30">
        <f>(F55/2-L55)/L55</f>
        <v>-0.97189431771270285</v>
      </c>
      <c r="P55" s="14"/>
      <c r="Q55" s="20"/>
      <c r="R55" s="20"/>
      <c r="S55" s="14"/>
      <c r="T55" s="14"/>
      <c r="U55" s="14"/>
    </row>
    <row r="56" spans="1:21" ht="17" x14ac:dyDescent="0.2">
      <c r="A56" s="19" t="s">
        <v>94</v>
      </c>
      <c r="B56" s="14" t="s">
        <v>289</v>
      </c>
      <c r="C56" s="28">
        <f>[1]ALNS!Z226</f>
        <v>246150.20199999999</v>
      </c>
      <c r="D56" s="28">
        <f>[1]ALNS!AA226</f>
        <v>245617.84</v>
      </c>
      <c r="E56" s="29">
        <f>[1]ALNS!AD226</f>
        <v>2.5876858002068476E-3</v>
      </c>
      <c r="F56" s="28">
        <f>[1]ALNS!AE226</f>
        <v>382.952</v>
      </c>
      <c r="G56" s="28">
        <f>'[1]PFB tests'!F54</f>
        <v>246318.87874999901</v>
      </c>
      <c r="H56" s="28">
        <f>'[1]PFB tests'!G54</f>
        <v>944.636655875001</v>
      </c>
      <c r="I56" s="30">
        <f t="shared" si="13"/>
        <v>-6.8479018277044842E-4</v>
      </c>
      <c r="J56" s="30">
        <f t="shared" si="15"/>
        <v>-0.59460391715873229</v>
      </c>
      <c r="K56" s="28" t="str">
        <f>'[1]Gurobi tests'!F55</f>
        <v>Infeasible</v>
      </c>
      <c r="L56" s="28">
        <f>'[1]Gurobi tests'!G55</f>
        <v>3796.05</v>
      </c>
      <c r="M56" s="31" t="s">
        <v>32</v>
      </c>
      <c r="N56" s="30" t="s">
        <v>32</v>
      </c>
      <c r="O56" s="30">
        <f>(F56/2-L56)/L56</f>
        <v>-0.9495591470080742</v>
      </c>
      <c r="P56" s="14"/>
      <c r="Q56" s="20"/>
      <c r="R56" s="20"/>
      <c r="S56" s="14"/>
      <c r="T56" s="14"/>
      <c r="U56" s="14"/>
    </row>
    <row r="57" spans="1:21" ht="17" x14ac:dyDescent="0.2">
      <c r="A57" s="19" t="s">
        <v>95</v>
      </c>
      <c r="B57" s="14" t="s">
        <v>289</v>
      </c>
      <c r="C57" s="28">
        <f>[1]ALNS!Z227</f>
        <v>278489.48200000002</v>
      </c>
      <c r="D57" s="28">
        <f>[1]ALNS!AA227</f>
        <v>278152.3</v>
      </c>
      <c r="E57" s="29">
        <f>[1]ALNS!AD227</f>
        <v>1.1052612954380618E-3</v>
      </c>
      <c r="F57" s="28">
        <f>[1]ALNS!AE227</f>
        <v>262.53399999999999</v>
      </c>
      <c r="G57" s="28">
        <f>'[1]PFB tests'!F55</f>
        <v>279142.23074999597</v>
      </c>
      <c r="H57" s="28">
        <f>'[1]PFB tests'!G55</f>
        <v>2156.0731305419999</v>
      </c>
      <c r="I57" s="30">
        <f t="shared" si="13"/>
        <v>-2.3384091623906422E-3</v>
      </c>
      <c r="J57" s="30">
        <f t="shared" si="15"/>
        <v>-0.8782351135121268</v>
      </c>
      <c r="K57" s="28" t="s">
        <v>15</v>
      </c>
      <c r="L57" s="28" t="s">
        <v>32</v>
      </c>
      <c r="M57" s="30" t="s">
        <v>32</v>
      </c>
      <c r="N57" s="30" t="s">
        <v>32</v>
      </c>
      <c r="O57" s="30" t="s">
        <v>32</v>
      </c>
      <c r="P57" s="14"/>
      <c r="Q57" s="20"/>
      <c r="R57" s="20"/>
      <c r="S57" s="14"/>
      <c r="T57" s="14"/>
      <c r="U57" s="14"/>
    </row>
    <row r="58" spans="1:21" ht="17" x14ac:dyDescent="0.2">
      <c r="A58" s="19" t="s">
        <v>96</v>
      </c>
      <c r="B58" s="14" t="s">
        <v>289</v>
      </c>
      <c r="C58" s="28">
        <f>[1]ALNS!Z228</f>
        <v>320406.22400000005</v>
      </c>
      <c r="D58" s="28">
        <f>[1]ALNS!AA228</f>
        <v>318618.02</v>
      </c>
      <c r="E58" s="29">
        <f>[1]ALNS!AD228</f>
        <v>4.0166576646195884E-3</v>
      </c>
      <c r="F58" s="28">
        <f>[1]ALNS!AE228</f>
        <v>438.71399999999994</v>
      </c>
      <c r="G58" s="28" t="str">
        <f>'[1]PFB tests'!F56</f>
        <v>Infeasible</v>
      </c>
      <c r="H58" s="28" t="str">
        <f>'[1]PFB tests'!G56</f>
        <v>-</v>
      </c>
      <c r="I58" s="30" t="s">
        <v>32</v>
      </c>
      <c r="J58" s="30" t="s">
        <v>32</v>
      </c>
      <c r="K58" s="28" t="s">
        <v>15</v>
      </c>
      <c r="L58" s="28" t="s">
        <v>32</v>
      </c>
      <c r="M58" s="30" t="s">
        <v>32</v>
      </c>
      <c r="N58" s="30" t="s">
        <v>32</v>
      </c>
      <c r="O58" s="30" t="s">
        <v>32</v>
      </c>
      <c r="P58" s="14"/>
      <c r="Q58" s="20"/>
      <c r="R58" s="20"/>
      <c r="S58" s="14"/>
      <c r="T58" s="14"/>
      <c r="U58" s="14"/>
    </row>
    <row r="59" spans="1:21" ht="17" x14ac:dyDescent="0.2">
      <c r="A59" s="19" t="s">
        <v>97</v>
      </c>
      <c r="B59" s="14" t="s">
        <v>289</v>
      </c>
      <c r="C59" s="28">
        <f>[1]ALNS!Z229</f>
        <v>340931.13799999998</v>
      </c>
      <c r="D59" s="28">
        <f>[1]ALNS!AA229</f>
        <v>340907.18</v>
      </c>
      <c r="E59" s="29">
        <f>[1]ALNS!AD229</f>
        <v>6.4149499073262872E-5</v>
      </c>
      <c r="F59" s="28">
        <f>[1]ALNS!AE229</f>
        <v>403.988</v>
      </c>
      <c r="G59" s="28" t="s">
        <v>15</v>
      </c>
      <c r="H59" s="28" t="s">
        <v>32</v>
      </c>
      <c r="I59" s="30" t="s">
        <v>32</v>
      </c>
      <c r="J59" s="30" t="s">
        <v>32</v>
      </c>
      <c r="K59" s="28" t="s">
        <v>15</v>
      </c>
      <c r="L59" s="28" t="s">
        <v>32</v>
      </c>
      <c r="M59" s="30" t="s">
        <v>32</v>
      </c>
      <c r="N59" s="30" t="s">
        <v>32</v>
      </c>
      <c r="O59" s="30" t="s">
        <v>32</v>
      </c>
      <c r="P59" s="14"/>
      <c r="Q59" s="20"/>
      <c r="R59" s="20"/>
      <c r="S59" s="14"/>
      <c r="T59" s="14"/>
      <c r="U59" s="14"/>
    </row>
    <row r="60" spans="1:21" ht="17" x14ac:dyDescent="0.2">
      <c r="A60" s="19" t="s">
        <v>98</v>
      </c>
      <c r="B60" s="14" t="s">
        <v>289</v>
      </c>
      <c r="C60" s="28">
        <f>[1]ALNS!Z230</f>
        <v>380616.21799999999</v>
      </c>
      <c r="D60" s="28">
        <f>[1]ALNS!AA230</f>
        <v>379747.3</v>
      </c>
      <c r="E60" s="29">
        <f>[1]ALNS!AD230</f>
        <v>1.7820383651608416E-3</v>
      </c>
      <c r="F60" s="28">
        <f>[1]ALNS!AE230</f>
        <v>409.654</v>
      </c>
      <c r="G60" s="28" t="s">
        <v>15</v>
      </c>
      <c r="H60" s="6" t="s">
        <v>32</v>
      </c>
      <c r="I60" s="26" t="s">
        <v>32</v>
      </c>
      <c r="J60" s="26" t="s">
        <v>32</v>
      </c>
      <c r="K60" s="28" t="s">
        <v>15</v>
      </c>
      <c r="L60" s="28" t="s">
        <v>32</v>
      </c>
      <c r="M60" s="30" t="s">
        <v>32</v>
      </c>
      <c r="N60" s="30" t="s">
        <v>32</v>
      </c>
      <c r="O60" s="30" t="s">
        <v>32</v>
      </c>
      <c r="P60" s="14"/>
      <c r="Q60" s="20"/>
      <c r="R60" s="20"/>
      <c r="S60" s="14"/>
      <c r="T60" s="14"/>
      <c r="U60" s="14"/>
    </row>
    <row r="61" spans="1:21" x14ac:dyDescent="0.2">
      <c r="A61" s="14"/>
      <c r="B61" s="14"/>
      <c r="C61" s="28"/>
      <c r="D61" s="28"/>
      <c r="E61" s="29"/>
      <c r="F61" s="28"/>
      <c r="G61" s="32"/>
      <c r="H61" s="32"/>
      <c r="I61" s="30"/>
      <c r="J61" s="30"/>
      <c r="K61" s="32"/>
      <c r="L61" s="32"/>
      <c r="M61" s="31"/>
      <c r="N61" s="30"/>
      <c r="O61" s="30"/>
      <c r="P61" s="14"/>
      <c r="Q61" s="20"/>
      <c r="R61" s="20"/>
      <c r="S61" s="14"/>
      <c r="T61" s="14"/>
      <c r="U61" s="14"/>
    </row>
    <row r="62" spans="1:21" ht="17" x14ac:dyDescent="0.2">
      <c r="A62" s="19" t="s">
        <v>99</v>
      </c>
      <c r="B62" s="14" t="s">
        <v>289</v>
      </c>
      <c r="C62" s="6" t="str">
        <f>[1]ALNS!Z232</f>
        <v>Infeasible</v>
      </c>
      <c r="D62" s="6" t="str">
        <f>[1]ALNS!AA232</f>
        <v>-</v>
      </c>
      <c r="E62" s="22" t="str">
        <f>[1]ALNS!AD232</f>
        <v>-</v>
      </c>
      <c r="F62" s="6">
        <f>[1]ALNS!AE232</f>
        <v>18.167999999999999</v>
      </c>
      <c r="G62" s="6" t="str">
        <f>'[1]PFB tests'!F60</f>
        <v>Infeasible</v>
      </c>
      <c r="H62" s="28">
        <f>'[1]PFB tests'!G60</f>
        <v>13.7054470000002</v>
      </c>
      <c r="I62" s="30" t="s">
        <v>32</v>
      </c>
      <c r="J62" s="30">
        <f>(F62-H62)/H62</f>
        <v>0.32560433818756396</v>
      </c>
      <c r="K62" s="6" t="str">
        <f>'[1]Gurobi tests'!F61</f>
        <v>Infeasible</v>
      </c>
      <c r="L62" s="28">
        <f>'[1]Gurobi tests'!G61</f>
        <v>3614.99</v>
      </c>
      <c r="M62" s="31" t="s">
        <v>32</v>
      </c>
      <c r="N62" s="30" t="s">
        <v>32</v>
      </c>
      <c r="O62" s="30">
        <f t="shared" ref="O62:O65" si="16">(F62/2-L62)/L62</f>
        <v>-0.99748712997822964</v>
      </c>
      <c r="P62" s="14"/>
      <c r="Q62" s="20"/>
      <c r="R62" s="20"/>
      <c r="S62" s="14"/>
      <c r="T62" s="14"/>
      <c r="U62" s="14"/>
    </row>
    <row r="63" spans="1:21" ht="17" x14ac:dyDescent="0.2">
      <c r="A63" s="19" t="s">
        <v>100</v>
      </c>
      <c r="B63" s="14" t="s">
        <v>289</v>
      </c>
      <c r="C63" s="6" t="str">
        <f>[1]ALNS!Z233</f>
        <v>Infeasible</v>
      </c>
      <c r="D63" s="6" t="str">
        <f>[1]ALNS!AA233</f>
        <v>-</v>
      </c>
      <c r="E63" s="22" t="str">
        <f>[1]ALNS!AD233</f>
        <v>-</v>
      </c>
      <c r="F63" s="6">
        <f>[1]ALNS!AE233</f>
        <v>46.116000000000007</v>
      </c>
      <c r="G63" s="6" t="str">
        <f>'[1]PFB tests'!F61</f>
        <v>Infeasible</v>
      </c>
      <c r="H63" s="28">
        <f>'[1]PFB tests'!G61</f>
        <v>19.283352208996799</v>
      </c>
      <c r="I63" s="30" t="s">
        <v>32</v>
      </c>
      <c r="J63" s="30">
        <f t="shared" ref="J63:J68" si="17">(F63-H63)/H63</f>
        <v>1.3914929053924672</v>
      </c>
      <c r="K63" s="6" t="str">
        <f>'[1]Gurobi tests'!F62</f>
        <v>Infeasible</v>
      </c>
      <c r="L63" s="28">
        <f>'[1]Gurobi tests'!G62</f>
        <v>3630.61</v>
      </c>
      <c r="M63" s="31" t="s">
        <v>32</v>
      </c>
      <c r="N63" s="30" t="s">
        <v>32</v>
      </c>
      <c r="O63" s="30">
        <f t="shared" si="16"/>
        <v>-0.99364900113204113</v>
      </c>
      <c r="P63" s="14"/>
      <c r="Q63" s="20"/>
      <c r="R63" s="20"/>
      <c r="S63" s="14"/>
      <c r="T63" s="14"/>
      <c r="U63" s="14"/>
    </row>
    <row r="64" spans="1:21" ht="17" x14ac:dyDescent="0.2">
      <c r="A64" s="19" t="s">
        <v>101</v>
      </c>
      <c r="B64" s="14" t="s">
        <v>289</v>
      </c>
      <c r="C64" s="6" t="str">
        <f>[1]ALNS!Z234</f>
        <v>Infeasible</v>
      </c>
      <c r="D64" s="6" t="str">
        <f>[1]ALNS!AA234</f>
        <v>-</v>
      </c>
      <c r="E64" s="22" t="str">
        <f>[1]ALNS!AD234</f>
        <v>-</v>
      </c>
      <c r="F64" s="6">
        <f>[1]ALNS!AE234</f>
        <v>74.664000000000001</v>
      </c>
      <c r="G64" s="6" t="str">
        <f>'[1]PFB tests'!F62</f>
        <v>Infeasible</v>
      </c>
      <c r="H64" s="28">
        <f>'[1]PFB tests'!G62</f>
        <v>28.039063708001699</v>
      </c>
      <c r="I64" s="30" t="s">
        <v>32</v>
      </c>
      <c r="J64" s="30">
        <f t="shared" si="17"/>
        <v>1.6628563912671817</v>
      </c>
      <c r="K64" s="6" t="str">
        <f>'[1]Gurobi tests'!F63</f>
        <v>Infeasible</v>
      </c>
      <c r="L64" s="28">
        <f>'[1]Gurobi tests'!G63</f>
        <v>3642.51</v>
      </c>
      <c r="M64" s="31" t="s">
        <v>32</v>
      </c>
      <c r="N64" s="30" t="s">
        <v>32</v>
      </c>
      <c r="O64" s="30">
        <f t="shared" si="16"/>
        <v>-0.98975102333281173</v>
      </c>
      <c r="P64" s="14"/>
      <c r="Q64" s="20"/>
      <c r="R64" s="20"/>
      <c r="S64" s="14"/>
      <c r="T64" s="14"/>
      <c r="U64" s="14"/>
    </row>
    <row r="65" spans="1:21" ht="17" x14ac:dyDescent="0.2">
      <c r="A65" s="19" t="s">
        <v>102</v>
      </c>
      <c r="B65" s="14" t="s">
        <v>289</v>
      </c>
      <c r="C65" s="6">
        <f>[1]ALNS!Z235</f>
        <v>264117.16200000001</v>
      </c>
      <c r="D65" s="6">
        <f>[1]ALNS!AA235</f>
        <v>264053.07</v>
      </c>
      <c r="E65" s="22">
        <f>[1]ALNS!AD235</f>
        <v>4.2522720773470349E-4</v>
      </c>
      <c r="F65" s="6">
        <f>[1]ALNS!AE235</f>
        <v>299.238</v>
      </c>
      <c r="G65" s="6" t="str">
        <f>'[1]PFB tests'!F63</f>
        <v>Infeasible</v>
      </c>
      <c r="H65" s="28">
        <f>'[1]PFB tests'!G63</f>
        <v>86.708364875001195</v>
      </c>
      <c r="I65" s="30" t="s">
        <v>32</v>
      </c>
      <c r="J65" s="30">
        <f t="shared" si="17"/>
        <v>2.4510857220221092</v>
      </c>
      <c r="K65" s="28" t="str">
        <f>'[1]Gurobi tests'!F64</f>
        <v>Infeasible</v>
      </c>
      <c r="L65" s="28">
        <f>'[1]Gurobi tests'!G64</f>
        <v>3718.26</v>
      </c>
      <c r="M65" s="31" t="s">
        <v>32</v>
      </c>
      <c r="N65" s="30" t="s">
        <v>32</v>
      </c>
      <c r="O65" s="30">
        <f t="shared" si="16"/>
        <v>-0.95976101725000396</v>
      </c>
      <c r="P65" s="14"/>
      <c r="Q65" s="20"/>
      <c r="R65" s="20"/>
      <c r="S65" s="14"/>
      <c r="T65" s="14"/>
      <c r="U65" s="14"/>
    </row>
    <row r="66" spans="1:21" ht="17" x14ac:dyDescent="0.2">
      <c r="A66" s="19" t="s">
        <v>103</v>
      </c>
      <c r="B66" s="14" t="s">
        <v>289</v>
      </c>
      <c r="C66" s="6">
        <f>[1]ALNS!Z236</f>
        <v>319006.04599999997</v>
      </c>
      <c r="D66" s="6">
        <f>[1]ALNS!AA236</f>
        <v>317030.61</v>
      </c>
      <c r="E66" s="22">
        <f>[1]ALNS!AD236</f>
        <v>1.384678828689119E-2</v>
      </c>
      <c r="F66" s="6">
        <f>[1]ALNS!AE236</f>
        <v>405.88800000000003</v>
      </c>
      <c r="G66" s="6">
        <f>'[1]PFB tests'!F64</f>
        <v>348935.89554999903</v>
      </c>
      <c r="H66" s="28">
        <f>'[1]PFB tests'!G64</f>
        <v>306.17616545800001</v>
      </c>
      <c r="I66" s="30" t="s">
        <v>32</v>
      </c>
      <c r="J66" s="30">
        <f t="shared" si="17"/>
        <v>0.32566817992786601</v>
      </c>
      <c r="K66" s="28" t="str">
        <f>'[1]Gurobi tests'!F65</f>
        <v>Infeasible</v>
      </c>
      <c r="L66" s="28">
        <f>'[1]Gurobi tests'!G65</f>
        <v>3784.5</v>
      </c>
      <c r="M66" s="31" t="s">
        <v>32</v>
      </c>
      <c r="N66" s="30" t="s">
        <v>32</v>
      </c>
      <c r="O66" s="30">
        <f>(F66/2-L66)/L66</f>
        <v>-0.94637495045580655</v>
      </c>
      <c r="P66" s="14"/>
      <c r="Q66" s="20"/>
      <c r="R66" s="20"/>
      <c r="S66" s="14"/>
      <c r="T66" s="14"/>
      <c r="U66" s="14"/>
    </row>
    <row r="67" spans="1:21" ht="17" x14ac:dyDescent="0.2">
      <c r="A67" s="19" t="s">
        <v>104</v>
      </c>
      <c r="B67" s="14" t="s">
        <v>289</v>
      </c>
      <c r="C67" s="6">
        <f>[1]ALNS!Z237</f>
        <v>351394.19199999998</v>
      </c>
      <c r="D67" s="6">
        <f>[1]ALNS!AA237</f>
        <v>351357.52</v>
      </c>
      <c r="E67" s="22">
        <f>[1]ALNS!AD237</f>
        <v>9.5268514610831145E-5</v>
      </c>
      <c r="F67" s="6">
        <f>[1]ALNS!AE237</f>
        <v>614.73800000000006</v>
      </c>
      <c r="G67" s="6" t="str">
        <f>'[1]PFB tests'!F65</f>
        <v>Infeasible</v>
      </c>
      <c r="H67" s="28">
        <f>'[1]PFB tests'!G65</f>
        <v>834.48950241700004</v>
      </c>
      <c r="I67" s="30" t="s">
        <v>32</v>
      </c>
      <c r="J67" s="30">
        <f t="shared" si="17"/>
        <v>-0.26333644914707227</v>
      </c>
      <c r="K67" s="28" t="str">
        <f>'[1]Gurobi tests'!F66</f>
        <v>Infeasible</v>
      </c>
      <c r="L67" s="28">
        <f>'[1]Gurobi tests'!G66</f>
        <v>3840.81</v>
      </c>
      <c r="M67" s="31" t="s">
        <v>32</v>
      </c>
      <c r="N67" s="30" t="s">
        <v>32</v>
      </c>
      <c r="O67" s="30">
        <f>(F67/2-L67)/L67</f>
        <v>-0.91997287030600317</v>
      </c>
      <c r="P67" s="14"/>
      <c r="Q67" s="20"/>
      <c r="R67" s="20"/>
      <c r="S67" s="14"/>
      <c r="T67" s="14"/>
      <c r="U67" s="14"/>
    </row>
    <row r="68" spans="1:21" ht="17" x14ac:dyDescent="0.2">
      <c r="A68" s="19" t="s">
        <v>105</v>
      </c>
      <c r="B68" s="14" t="s">
        <v>289</v>
      </c>
      <c r="C68" s="6">
        <f>[1]ALNS!Z238</f>
        <v>356295.38999999996</v>
      </c>
      <c r="D68" s="6">
        <f>[1]ALNS!AA238</f>
        <v>355746.86</v>
      </c>
      <c r="E68" s="22">
        <f>[1]ALNS!AD238</f>
        <v>2.3040486845400279E-3</v>
      </c>
      <c r="F68" s="6">
        <f>[1]ALNS!AE238</f>
        <v>1164.2059999999999</v>
      </c>
      <c r="G68" s="6">
        <f>'[1]PFB tests'!F66</f>
        <v>363561.81589999999</v>
      </c>
      <c r="H68" s="28">
        <f>'[1]PFB tests'!G66</f>
        <v>1991.9382027500001</v>
      </c>
      <c r="I68" s="30">
        <f>(C68-G68)/G68</f>
        <v>-1.9986768637987849E-2</v>
      </c>
      <c r="J68" s="30">
        <f t="shared" si="17"/>
        <v>-0.4155411054455716</v>
      </c>
      <c r="K68" s="58" t="s">
        <v>15</v>
      </c>
      <c r="L68" s="58" t="s">
        <v>32</v>
      </c>
      <c r="M68" s="59" t="s">
        <v>32</v>
      </c>
      <c r="N68" s="59" t="s">
        <v>32</v>
      </c>
      <c r="O68" s="30" t="s">
        <v>32</v>
      </c>
      <c r="P68" s="14"/>
      <c r="Q68" s="20"/>
      <c r="R68" s="20"/>
      <c r="S68" s="14"/>
      <c r="T68" s="14"/>
      <c r="U68" s="14"/>
    </row>
    <row r="69" spans="1:21" ht="17" x14ac:dyDescent="0.2">
      <c r="A69" s="19" t="s">
        <v>106</v>
      </c>
      <c r="B69" s="14" t="s">
        <v>289</v>
      </c>
      <c r="C69" s="6">
        <f>[1]ALNS!Z239</f>
        <v>403702.64</v>
      </c>
      <c r="D69" s="6">
        <f>[1]ALNS!AA239</f>
        <v>403200.92</v>
      </c>
      <c r="E69" s="22">
        <f>[1]ALNS!AD239</f>
        <v>1.2243613813698771E-3</v>
      </c>
      <c r="F69" s="6">
        <f>[1]ALNS!AE239</f>
        <v>1438.4059999999999</v>
      </c>
      <c r="G69" s="6" t="str">
        <f>'[1]PFB tests'!F67</f>
        <v>Infeasible</v>
      </c>
      <c r="H69" s="28" t="str">
        <f>'[1]PFB tests'!G67</f>
        <v>-</v>
      </c>
      <c r="I69" s="30" t="s">
        <v>32</v>
      </c>
      <c r="J69" s="30" t="s">
        <v>32</v>
      </c>
      <c r="K69" s="58" t="s">
        <v>15</v>
      </c>
      <c r="L69" s="58" t="s">
        <v>32</v>
      </c>
      <c r="M69" s="59" t="s">
        <v>32</v>
      </c>
      <c r="N69" s="59" t="s">
        <v>32</v>
      </c>
      <c r="O69" s="30" t="s">
        <v>32</v>
      </c>
      <c r="P69" s="14"/>
      <c r="Q69" s="20"/>
      <c r="R69" s="20"/>
      <c r="S69" s="14"/>
      <c r="T69" s="14"/>
      <c r="U69" s="14"/>
    </row>
    <row r="70" spans="1:21" ht="17" x14ac:dyDescent="0.2">
      <c r="A70" s="19" t="s">
        <v>107</v>
      </c>
      <c r="B70" s="14" t="s">
        <v>289</v>
      </c>
      <c r="C70" s="6">
        <f>[1]ALNS!Z240</f>
        <v>443160.39</v>
      </c>
      <c r="D70" s="6">
        <f>[1]ALNS!AA240</f>
        <v>443160.39</v>
      </c>
      <c r="E70" s="22">
        <f>[1]ALNS!AD240</f>
        <v>0</v>
      </c>
      <c r="F70" s="6">
        <f>[1]ALNS!AE240</f>
        <v>1905.7460000000003</v>
      </c>
      <c r="G70" s="58" t="s">
        <v>15</v>
      </c>
      <c r="H70" s="58" t="s">
        <v>32</v>
      </c>
      <c r="I70" s="59" t="s">
        <v>32</v>
      </c>
      <c r="J70" s="59" t="s">
        <v>32</v>
      </c>
      <c r="K70" s="58" t="s">
        <v>15</v>
      </c>
      <c r="L70" s="58" t="s">
        <v>32</v>
      </c>
      <c r="M70" s="59" t="s">
        <v>32</v>
      </c>
      <c r="N70" s="59" t="s">
        <v>32</v>
      </c>
      <c r="O70" s="30" t="s">
        <v>32</v>
      </c>
      <c r="P70" s="14"/>
      <c r="Q70" s="20"/>
      <c r="R70" s="20"/>
      <c r="S70" s="14"/>
      <c r="T70" s="14"/>
      <c r="U70" s="14"/>
    </row>
    <row r="71" spans="1:21" ht="17" x14ac:dyDescent="0.2">
      <c r="A71" s="19" t="s">
        <v>108</v>
      </c>
      <c r="B71" s="14" t="s">
        <v>289</v>
      </c>
      <c r="C71" s="6">
        <f>[1]ALNS!Z241</f>
        <v>498840.12400000001</v>
      </c>
      <c r="D71" s="6">
        <f>[1]ALNS!AA241</f>
        <v>497655.49</v>
      </c>
      <c r="E71" s="22">
        <f>[1]ALNS!AD241</f>
        <v>1.492062888352641E-3</v>
      </c>
      <c r="F71" s="6">
        <f>[1]ALNS!AE241</f>
        <v>2426.9679999999998</v>
      </c>
      <c r="G71" s="58" t="s">
        <v>15</v>
      </c>
      <c r="H71" s="58" t="s">
        <v>32</v>
      </c>
      <c r="I71" s="59" t="s">
        <v>32</v>
      </c>
      <c r="J71" s="59" t="s">
        <v>32</v>
      </c>
      <c r="K71" s="58" t="s">
        <v>15</v>
      </c>
      <c r="L71" s="58" t="s">
        <v>32</v>
      </c>
      <c r="M71" s="59" t="s">
        <v>32</v>
      </c>
      <c r="N71" s="59" t="s">
        <v>32</v>
      </c>
      <c r="O71" s="30" t="s">
        <v>32</v>
      </c>
      <c r="P71" s="14"/>
      <c r="Q71" s="20"/>
      <c r="R71" s="20"/>
      <c r="S71" s="14"/>
      <c r="T71" s="14"/>
      <c r="U71" s="14"/>
    </row>
    <row r="72" spans="1:21" x14ac:dyDescent="0.2">
      <c r="A72" s="14"/>
      <c r="B72" s="14"/>
      <c r="C72" s="14"/>
      <c r="D72" s="14"/>
      <c r="E72" s="14"/>
      <c r="F72" s="14"/>
      <c r="G72" s="14"/>
      <c r="H72" s="32"/>
      <c r="I72" s="30"/>
      <c r="J72" s="30"/>
      <c r="K72" s="32"/>
      <c r="L72" s="32"/>
      <c r="M72" s="31"/>
      <c r="N72" s="30"/>
      <c r="O72" s="30"/>
      <c r="P72" s="14"/>
      <c r="Q72" s="20"/>
      <c r="R72" s="20"/>
      <c r="S72" s="14"/>
      <c r="T72" s="14"/>
      <c r="U72" s="14"/>
    </row>
    <row r="73" spans="1:21" x14ac:dyDescent="0.2">
      <c r="A73" s="19" t="s">
        <v>109</v>
      </c>
      <c r="B73" s="14" t="s">
        <v>289</v>
      </c>
      <c r="C73" s="28">
        <f>[1]ALNS!Z243</f>
        <v>48507.24</v>
      </c>
      <c r="D73" s="28">
        <f>[1]ALNS!AA243</f>
        <v>48507.24</v>
      </c>
      <c r="E73" s="29">
        <f>[1]ALNS!AD243</f>
        <v>0</v>
      </c>
      <c r="F73" s="28">
        <f>[1]ALNS!AE243</f>
        <v>14.874000000000001</v>
      </c>
      <c r="G73" s="28">
        <f>'[1]PFB tests'!F71</f>
        <v>48507.240055000002</v>
      </c>
      <c r="H73" s="28">
        <f>'[1]PFB tests'!G71</f>
        <v>17.882419625006101</v>
      </c>
      <c r="I73" s="30">
        <f t="shared" ref="I73:I79" si="18">(C73-G73)/G73</f>
        <v>-1.1338514416649867E-9</v>
      </c>
      <c r="J73" s="30">
        <f>(F73-H73)/H73</f>
        <v>-0.16823336484058565</v>
      </c>
      <c r="K73" s="28">
        <f>'[1]Gurobi tests'!F72</f>
        <v>48507.24</v>
      </c>
      <c r="L73" s="28">
        <f>'[1]Gurobi tests'!G72</f>
        <v>19.059999999999999</v>
      </c>
      <c r="M73" s="31">
        <f>'[1]Gurobi tests'!H72/100</f>
        <v>0</v>
      </c>
      <c r="N73" s="30">
        <f t="shared" ref="N73:N76" si="19">(C73-K73)/K73</f>
        <v>0</v>
      </c>
      <c r="O73" s="30">
        <f t="shared" ref="O73:O76" si="20">(F73/2-L73)/L73</f>
        <v>-0.60981112277019933</v>
      </c>
      <c r="P73" s="14"/>
      <c r="Q73" s="20"/>
      <c r="R73" s="20"/>
      <c r="S73" s="14"/>
      <c r="T73" s="14"/>
      <c r="U73" s="14"/>
    </row>
    <row r="74" spans="1:21" x14ac:dyDescent="0.2">
      <c r="A74" s="19" t="s">
        <v>110</v>
      </c>
      <c r="B74" s="14" t="s">
        <v>289</v>
      </c>
      <c r="C74" s="28">
        <f>[1]ALNS!Z244</f>
        <v>77262.31</v>
      </c>
      <c r="D74" s="28">
        <f>[1]ALNS!AA244</f>
        <v>77262.31</v>
      </c>
      <c r="E74" s="29">
        <f>[1]ALNS!AD244</f>
        <v>0</v>
      </c>
      <c r="F74" s="28">
        <f>[1]ALNS!AE244</f>
        <v>19.752000000000002</v>
      </c>
      <c r="G74" s="28">
        <f>'[1]PFB tests'!F72</f>
        <v>78358.488054999994</v>
      </c>
      <c r="H74" s="28">
        <f>'[1]PFB tests'!G72</f>
        <v>21.5784776670043</v>
      </c>
      <c r="I74" s="30">
        <f t="shared" si="18"/>
        <v>-1.3989270112391487E-2</v>
      </c>
      <c r="J74" s="30">
        <f t="shared" ref="J74:J79" si="21">(F74-H74)/H74</f>
        <v>-8.4643490388442405E-2</v>
      </c>
      <c r="K74" s="28">
        <f>'[1]Gurobi tests'!F73</f>
        <v>77262.305828395794</v>
      </c>
      <c r="L74" s="28">
        <f>'[1]Gurobi tests'!G73</f>
        <v>233.76</v>
      </c>
      <c r="M74" s="31">
        <f>'[1]Gurobi tests'!H73/100</f>
        <v>0</v>
      </c>
      <c r="N74" s="30">
        <f t="shared" si="19"/>
        <v>5.3992747932717445E-8</v>
      </c>
      <c r="O74" s="30">
        <f t="shared" si="20"/>
        <v>-0.95775154004106777</v>
      </c>
      <c r="P74" s="14"/>
      <c r="Q74" s="20"/>
      <c r="R74" s="20"/>
      <c r="S74" s="14"/>
      <c r="T74" s="14"/>
      <c r="U74" s="14"/>
    </row>
    <row r="75" spans="1:21" x14ac:dyDescent="0.2">
      <c r="A75" s="19" t="s">
        <v>111</v>
      </c>
      <c r="B75" s="14" t="s">
        <v>289</v>
      </c>
      <c r="C75" s="28">
        <f>[1]ALNS!Z245</f>
        <v>113592.25</v>
      </c>
      <c r="D75" s="28">
        <f>[1]ALNS!AA245</f>
        <v>113592.25</v>
      </c>
      <c r="E75" s="29">
        <f>[1]ALNS!AD245</f>
        <v>0</v>
      </c>
      <c r="F75" s="28">
        <f>[1]ALNS!AE245</f>
        <v>28.001999999999999</v>
      </c>
      <c r="G75" s="28">
        <f>'[1]PFB tests'!F73</f>
        <v>113769.79210999999</v>
      </c>
      <c r="H75" s="28">
        <f>'[1]PFB tests'!G73</f>
        <v>25.920693374995601</v>
      </c>
      <c r="I75" s="30">
        <f t="shared" si="18"/>
        <v>-1.5605382299401203E-3</v>
      </c>
      <c r="J75" s="30">
        <f t="shared" si="21"/>
        <v>8.0295175553140516E-2</v>
      </c>
      <c r="K75" s="28">
        <f>'[1]Gurobi tests'!F74</f>
        <v>113592.250374633</v>
      </c>
      <c r="L75" s="28">
        <f>'[1]Gurobi tests'!G74</f>
        <v>2746.63</v>
      </c>
      <c r="M75" s="31">
        <f>'[1]Gurobi tests'!H74/100</f>
        <v>0</v>
      </c>
      <c r="N75" s="30">
        <f t="shared" si="19"/>
        <v>-3.2980507272460133E-9</v>
      </c>
      <c r="O75" s="30">
        <f t="shared" si="20"/>
        <v>-0.99490248049427832</v>
      </c>
      <c r="P75" s="14"/>
      <c r="Q75" s="20"/>
      <c r="R75" s="20"/>
      <c r="S75" s="14"/>
      <c r="T75" s="14"/>
      <c r="U75" s="14"/>
    </row>
    <row r="76" spans="1:21" x14ac:dyDescent="0.2">
      <c r="A76" s="19" t="s">
        <v>112</v>
      </c>
      <c r="B76" s="14" t="s">
        <v>289</v>
      </c>
      <c r="C76" s="28">
        <f>[1]ALNS!Z246</f>
        <v>134578.49</v>
      </c>
      <c r="D76" s="28">
        <f>[1]ALNS!AA246</f>
        <v>134578.49</v>
      </c>
      <c r="E76" s="29">
        <f>[1]ALNS!AD246</f>
        <v>0</v>
      </c>
      <c r="F76" s="28">
        <f>[1]ALNS!AE246</f>
        <v>40.931999999999995</v>
      </c>
      <c r="G76" s="28">
        <f>'[1]PFB tests'!F74</f>
        <v>135356.46005499901</v>
      </c>
      <c r="H76" s="28">
        <f>'[1]PFB tests'!G74</f>
        <v>40.216461417003302</v>
      </c>
      <c r="I76" s="30">
        <f t="shared" si="18"/>
        <v>-5.747565019674071E-3</v>
      </c>
      <c r="J76" s="30">
        <f t="shared" si="21"/>
        <v>1.7792181554147558E-2</v>
      </c>
      <c r="K76" s="28">
        <f>'[1]Gurobi tests'!F75</f>
        <v>139754.912594728</v>
      </c>
      <c r="L76" s="28">
        <f>'[1]Gurobi tests'!G75</f>
        <v>3699.51</v>
      </c>
      <c r="M76" s="31">
        <f>'[1]Gurobi tests'!H75/100</f>
        <v>0.16661784556207698</v>
      </c>
      <c r="N76" s="30">
        <f t="shared" si="19"/>
        <v>-3.7039288985418306E-2</v>
      </c>
      <c r="O76" s="30">
        <f t="shared" si="20"/>
        <v>-0.9944679160213109</v>
      </c>
      <c r="P76" s="14"/>
      <c r="Q76" s="20"/>
      <c r="R76" s="20"/>
      <c r="S76" s="2"/>
      <c r="T76" s="2"/>
      <c r="U76" s="2"/>
    </row>
    <row r="77" spans="1:21" x14ac:dyDescent="0.2">
      <c r="A77" s="19" t="s">
        <v>113</v>
      </c>
      <c r="B77" s="14" t="s">
        <v>289</v>
      </c>
      <c r="C77" s="28">
        <f>[1]ALNS!Z247</f>
        <v>156511.37</v>
      </c>
      <c r="D77" s="28">
        <f>[1]ALNS!AA247</f>
        <v>156511.37</v>
      </c>
      <c r="E77" s="29">
        <f>[1]ALNS!AD247</f>
        <v>0</v>
      </c>
      <c r="F77" s="28">
        <f>[1]ALNS!AE247</f>
        <v>52.415999999999997</v>
      </c>
      <c r="G77" s="28">
        <f>'[1]PFB tests'!F75</f>
        <v>156913.64410999999</v>
      </c>
      <c r="H77" s="28">
        <f>'[1]PFB tests'!G75</f>
        <v>95.007494999998002</v>
      </c>
      <c r="I77" s="30">
        <f t="shared" si="18"/>
        <v>-2.563665589959757E-3</v>
      </c>
      <c r="J77" s="30">
        <f t="shared" si="21"/>
        <v>-0.4482961581083566</v>
      </c>
      <c r="K77" s="28">
        <f>'[1]Gurobi tests'!F76</f>
        <v>162792.08845308301</v>
      </c>
      <c r="L77" s="28">
        <f>'[1]Gurobi tests'!G76</f>
        <v>3748.38</v>
      </c>
      <c r="M77" s="31">
        <f>'[1]Gurobi tests'!H76/100</f>
        <v>0.21930352069401898</v>
      </c>
      <c r="N77" s="30">
        <f>(C77-K77)/K77</f>
        <v>-3.8581226598693875E-2</v>
      </c>
      <c r="O77" s="30">
        <f>(F77/2-L77)/L77</f>
        <v>-0.99300817953355847</v>
      </c>
      <c r="P77" s="14"/>
      <c r="Q77" s="20"/>
      <c r="R77" s="20"/>
      <c r="S77" s="2"/>
      <c r="T77" s="2"/>
      <c r="U77" s="2"/>
    </row>
    <row r="78" spans="1:21" x14ac:dyDescent="0.2">
      <c r="A78" s="19" t="s">
        <v>114</v>
      </c>
      <c r="B78" s="14" t="s">
        <v>289</v>
      </c>
      <c r="C78" s="28">
        <f>[1]ALNS!Z248</f>
        <v>166271.46</v>
      </c>
      <c r="D78" s="28">
        <f>[1]ALNS!AA248</f>
        <v>166271.46</v>
      </c>
      <c r="E78" s="29">
        <f>[1]ALNS!AD248</f>
        <v>0</v>
      </c>
      <c r="F78" s="28">
        <f>[1]ALNS!AE248</f>
        <v>66.866</v>
      </c>
      <c r="G78" s="28">
        <f>'[1]PFB tests'!F76</f>
        <v>166271.460165</v>
      </c>
      <c r="H78" s="28">
        <f>'[1]PFB tests'!G76</f>
        <v>220.844057499998</v>
      </c>
      <c r="I78" s="30">
        <f t="shared" si="18"/>
        <v>-9.9235313602802399E-10</v>
      </c>
      <c r="J78" s="30">
        <f t="shared" si="21"/>
        <v>-0.69722526946417551</v>
      </c>
      <c r="K78" s="28">
        <f>'[1]Gurobi tests'!F77</f>
        <v>176500.54782913</v>
      </c>
      <c r="L78" s="28">
        <f>'[1]Gurobi tests'!G77</f>
        <v>3809.29</v>
      </c>
      <c r="M78" s="31">
        <f>'[1]Gurobi tests'!H77/100</f>
        <v>0.21009016557440499</v>
      </c>
      <c r="N78" s="30">
        <f>(C78-K78)/K78</f>
        <v>-5.7954991952958543E-2</v>
      </c>
      <c r="O78" s="30">
        <f>(F78/2-L78)/L78</f>
        <v>-0.99122329882996574</v>
      </c>
      <c r="P78" s="14"/>
      <c r="Q78" s="20"/>
      <c r="R78" s="20"/>
      <c r="S78" s="2"/>
      <c r="T78" s="2"/>
      <c r="U78" s="2"/>
    </row>
    <row r="79" spans="1:21" x14ac:dyDescent="0.2">
      <c r="A79" s="19" t="s">
        <v>115</v>
      </c>
      <c r="B79" s="14" t="s">
        <v>289</v>
      </c>
      <c r="C79" s="28">
        <f>[1]ALNS!Z249</f>
        <v>202984.37</v>
      </c>
      <c r="D79" s="28">
        <f>[1]ALNS!AA249</f>
        <v>202984.37</v>
      </c>
      <c r="E79" s="29">
        <f>[1]ALNS!AD249</f>
        <v>0</v>
      </c>
      <c r="F79" s="28">
        <f>[1]ALNS!AE249</f>
        <v>74.570000000000007</v>
      </c>
      <c r="G79" s="28">
        <f>'[1]PFB tests'!F77</f>
        <v>203972.38816499899</v>
      </c>
      <c r="H79" s="28">
        <f>'[1]PFB tests'!G77</f>
        <v>1375.3313767499999</v>
      </c>
      <c r="I79" s="30">
        <f t="shared" si="18"/>
        <v>-4.8438819287626401E-3</v>
      </c>
      <c r="J79" s="30">
        <f t="shared" si="21"/>
        <v>-0.94578033973440356</v>
      </c>
      <c r="K79" s="28">
        <f>'[1]Gurobi tests'!F78</f>
        <v>214572.647822656</v>
      </c>
      <c r="L79" s="28">
        <f>'[1]Gurobi tests'!G78</f>
        <v>3941.51</v>
      </c>
      <c r="M79" s="31">
        <f>'[1]Gurobi tests'!H78/100</f>
        <v>0.236937334178315</v>
      </c>
      <c r="N79" s="30">
        <f>(C79-K79)/K79</f>
        <v>-5.4006314132981667E-2</v>
      </c>
      <c r="O79" s="30">
        <f>(F79/2-L79)/L79</f>
        <v>-0.99054042739965142</v>
      </c>
      <c r="P79" s="14"/>
      <c r="Q79" s="20"/>
      <c r="R79" s="20"/>
      <c r="S79" s="2"/>
      <c r="T79" s="2"/>
      <c r="U79" s="2"/>
    </row>
    <row r="80" spans="1:21" ht="17" x14ac:dyDescent="0.2">
      <c r="A80" s="19" t="s">
        <v>116</v>
      </c>
      <c r="B80" s="14" t="s">
        <v>289</v>
      </c>
      <c r="C80" s="28">
        <f>[1]ALNS!Z250</f>
        <v>216666.26</v>
      </c>
      <c r="D80" s="28">
        <f>[1]ALNS!AA250</f>
        <v>216666.26</v>
      </c>
      <c r="E80" s="29">
        <f>[1]ALNS!AD250</f>
        <v>0</v>
      </c>
      <c r="F80" s="28">
        <f>[1]ALNS!AE250</f>
        <v>88.622</v>
      </c>
      <c r="G80" s="28" t="str">
        <f>'[1]PFB tests'!F78</f>
        <v>Infeasible</v>
      </c>
      <c r="H80" s="28" t="str">
        <f>'[1]PFB tests'!G78</f>
        <v>-</v>
      </c>
      <c r="I80" s="30" t="s">
        <v>32</v>
      </c>
      <c r="J80" s="30" t="s">
        <v>32</v>
      </c>
      <c r="K80" s="28">
        <f>'[1]Gurobi tests'!F79</f>
        <v>251565.047820281</v>
      </c>
      <c r="L80" s="28">
        <f>'[1]Gurobi tests'!G79</f>
        <v>4032.86</v>
      </c>
      <c r="M80" s="31">
        <f>'[1]Gurobi tests'!H79/100</f>
        <v>0.27911920006783503</v>
      </c>
      <c r="N80" s="30">
        <f>(C80-K80)/K80</f>
        <v>-0.13872669563067766</v>
      </c>
      <c r="O80" s="30">
        <f>(F80/2-L80)/L80</f>
        <v>-0.9890125122121769</v>
      </c>
      <c r="P80" s="14"/>
      <c r="Q80" s="20"/>
      <c r="R80" s="20"/>
      <c r="S80" s="2"/>
      <c r="T80" s="2"/>
      <c r="U80" s="2"/>
    </row>
    <row r="81" spans="1:21" ht="17" x14ac:dyDescent="0.2">
      <c r="A81" s="19" t="s">
        <v>117</v>
      </c>
      <c r="B81" s="14" t="s">
        <v>289</v>
      </c>
      <c r="C81" s="28">
        <f>[1]ALNS!Z251</f>
        <v>254603.45</v>
      </c>
      <c r="D81" s="28">
        <f>[1]ALNS!AA251</f>
        <v>254603.45</v>
      </c>
      <c r="E81" s="29">
        <f>[1]ALNS!AD251</f>
        <v>0</v>
      </c>
      <c r="F81" s="28">
        <f>[1]ALNS!AE251</f>
        <v>108.194</v>
      </c>
      <c r="G81" s="58" t="s">
        <v>15</v>
      </c>
      <c r="H81" s="58" t="s">
        <v>32</v>
      </c>
      <c r="I81" s="59" t="s">
        <v>32</v>
      </c>
      <c r="J81" s="59" t="s">
        <v>32</v>
      </c>
      <c r="K81" s="28">
        <f>'[1]Gurobi tests'!F80</f>
        <v>284990.5</v>
      </c>
      <c r="L81" s="28">
        <f>'[1]Gurobi tests'!G80</f>
        <v>4177.87</v>
      </c>
      <c r="M81" s="31">
        <f>'[1]Gurobi tests'!H80/100</f>
        <v>0.265545775175626</v>
      </c>
      <c r="N81" s="30">
        <f>(C81-K81)/K81</f>
        <v>-0.10662478222958305</v>
      </c>
      <c r="O81" s="30">
        <f>(F81/2-L81)/L81</f>
        <v>-0.98705153583045913</v>
      </c>
      <c r="P81" s="14"/>
      <c r="Q81" s="20"/>
      <c r="R81" s="20"/>
      <c r="S81" s="2"/>
      <c r="T81" s="2"/>
      <c r="U81" s="2"/>
    </row>
    <row r="82" spans="1:21" ht="17" x14ac:dyDescent="0.2">
      <c r="A82" s="19" t="s">
        <v>118</v>
      </c>
      <c r="B82" s="14" t="s">
        <v>289</v>
      </c>
      <c r="C82" s="28">
        <f>[1]ALNS!Z252</f>
        <v>290018.35399999999</v>
      </c>
      <c r="D82" s="28">
        <f>[1]ALNS!AA252</f>
        <v>289968.14</v>
      </c>
      <c r="E82" s="29">
        <f>[1]ALNS!AD252</f>
        <v>3.8715452271747457E-4</v>
      </c>
      <c r="F82" s="28">
        <f>[1]ALNS!AE252</f>
        <v>115.03800000000001</v>
      </c>
      <c r="G82" s="58" t="s">
        <v>15</v>
      </c>
      <c r="H82" s="58" t="s">
        <v>32</v>
      </c>
      <c r="I82" s="59" t="s">
        <v>32</v>
      </c>
      <c r="J82" s="59" t="s">
        <v>32</v>
      </c>
      <c r="K82" s="58" t="s">
        <v>15</v>
      </c>
      <c r="L82" s="58" t="s">
        <v>32</v>
      </c>
      <c r="M82" s="59" t="s">
        <v>32</v>
      </c>
      <c r="N82" s="59" t="s">
        <v>32</v>
      </c>
      <c r="O82" s="30" t="s">
        <v>32</v>
      </c>
      <c r="P82" s="14"/>
      <c r="Q82" s="20"/>
      <c r="R82" s="20"/>
      <c r="S82" s="2"/>
      <c r="T82" s="2"/>
      <c r="U82" s="2"/>
    </row>
    <row r="83" spans="1:21" x14ac:dyDescent="0.2">
      <c r="A83" s="14"/>
      <c r="B83" s="14"/>
      <c r="C83" s="28"/>
      <c r="D83" s="28"/>
      <c r="E83" s="29"/>
      <c r="F83" s="28"/>
      <c r="G83" s="32"/>
      <c r="H83" s="32"/>
      <c r="I83" s="30"/>
      <c r="J83" s="30"/>
      <c r="K83" s="32"/>
      <c r="L83" s="32"/>
      <c r="M83" s="31"/>
      <c r="N83" s="30"/>
      <c r="O83" s="30"/>
      <c r="P83" s="14"/>
      <c r="Q83" s="20"/>
      <c r="R83" s="20"/>
      <c r="S83" s="2"/>
      <c r="T83" s="2"/>
      <c r="U83" s="2"/>
    </row>
    <row r="84" spans="1:21" x14ac:dyDescent="0.2">
      <c r="A84" s="19" t="s">
        <v>119</v>
      </c>
      <c r="B84" s="14" t="s">
        <v>289</v>
      </c>
      <c r="C84" s="28">
        <f>[1]ALNS!Z254</f>
        <v>61871.410000000011</v>
      </c>
      <c r="D84" s="28">
        <f>[1]ALNS!AA254</f>
        <v>61871.41</v>
      </c>
      <c r="E84" s="29">
        <f>[1]ALNS!AD254</f>
        <v>1.3147862499594988E-16</v>
      </c>
      <c r="F84" s="28">
        <f>[1]ALNS!AE254</f>
        <v>14.784000000000001</v>
      </c>
      <c r="G84" s="28">
        <f>'[1]PFB tests'!F82</f>
        <v>61871.411999999997</v>
      </c>
      <c r="H84" s="28">
        <f>'[1]PFB tests'!G82</f>
        <v>19.181749542003601</v>
      </c>
      <c r="I84" s="30">
        <f t="shared" ref="I84:I90" si="22">(C84-G84)/G84</f>
        <v>-3.2325106558995913E-8</v>
      </c>
      <c r="J84" s="30">
        <f>(F84-H84)/H84</f>
        <v>-0.22926738420671924</v>
      </c>
      <c r="K84" s="28">
        <f>'[1]Gurobi tests'!F83</f>
        <v>61871.4119990033</v>
      </c>
      <c r="L84" s="28">
        <f>'[1]Gurobi tests'!G83</f>
        <v>23.69</v>
      </c>
      <c r="M84" s="31">
        <f>'[1]Gurobi tests'!H83/100</f>
        <v>0</v>
      </c>
      <c r="N84" s="30">
        <f t="shared" ref="N84:N87" si="23">(C84-K84)/K84</f>
        <v>-3.2308997390167235E-8</v>
      </c>
      <c r="O84" s="30">
        <f t="shared" ref="O84:O87" si="24">(F84/2-L84)/L84</f>
        <v>-0.68796960742929514</v>
      </c>
      <c r="P84" s="14"/>
      <c r="Q84" s="20"/>
      <c r="R84" s="20"/>
      <c r="S84" s="2"/>
      <c r="T84" s="2"/>
      <c r="U84" s="2"/>
    </row>
    <row r="85" spans="1:21" x14ac:dyDescent="0.2">
      <c r="A85" s="19" t="s">
        <v>120</v>
      </c>
      <c r="B85" s="14" t="s">
        <v>289</v>
      </c>
      <c r="C85" s="28">
        <f>[1]ALNS!Z255</f>
        <v>111582.13599999998</v>
      </c>
      <c r="D85" s="28">
        <f>[1]ALNS!AA255</f>
        <v>111544.75</v>
      </c>
      <c r="E85" s="29">
        <f>[1]ALNS!AD255</f>
        <v>7.4920269860046451E-4</v>
      </c>
      <c r="F85" s="28">
        <f>[1]ALNS!AE255</f>
        <v>23.836000000000002</v>
      </c>
      <c r="G85" s="28">
        <f>'[1]PFB tests'!F83</f>
        <v>111874.811749999</v>
      </c>
      <c r="H85" s="28">
        <f>'[1]PFB tests'!G83</f>
        <v>25.9053152499982</v>
      </c>
      <c r="I85" s="30">
        <f t="shared" si="22"/>
        <v>-2.6161004914408048E-3</v>
      </c>
      <c r="J85" s="30">
        <f t="shared" ref="J85:J90" si="25">(F85-H85)/H85</f>
        <v>-7.9879948575354298E-2</v>
      </c>
      <c r="K85" s="28">
        <f>'[1]Gurobi tests'!F84</f>
        <v>112117.080100812</v>
      </c>
      <c r="L85" s="28">
        <f>'[1]Gurobi tests'!G84</f>
        <v>3625.04</v>
      </c>
      <c r="M85" s="31">
        <f>'[1]Gurobi tests'!H84/100</f>
        <v>0.31783867265626997</v>
      </c>
      <c r="N85" s="30">
        <f t="shared" si="23"/>
        <v>-4.7712988987138726E-3</v>
      </c>
      <c r="O85" s="30">
        <f t="shared" si="24"/>
        <v>-0.99671231214000389</v>
      </c>
      <c r="P85" s="14"/>
      <c r="Q85" s="20"/>
      <c r="R85" s="20"/>
      <c r="S85" s="2"/>
      <c r="T85" s="2"/>
      <c r="U85" s="2"/>
    </row>
    <row r="86" spans="1:21" x14ac:dyDescent="0.2">
      <c r="A86" s="19" t="s">
        <v>121</v>
      </c>
      <c r="B86" s="14" t="s">
        <v>289</v>
      </c>
      <c r="C86" s="28">
        <f>[1]ALNS!Z256</f>
        <v>165270.09</v>
      </c>
      <c r="D86" s="28">
        <f>[1]ALNS!AA256</f>
        <v>165270.09</v>
      </c>
      <c r="E86" s="29">
        <f>[1]ALNS!AD256</f>
        <v>0</v>
      </c>
      <c r="F86" s="28">
        <f>[1]ALNS!AE256</f>
        <v>31.703999999999997</v>
      </c>
      <c r="G86" s="28">
        <f>'[1]PFB tests'!F84</f>
        <v>165270.092</v>
      </c>
      <c r="H86" s="28">
        <f>'[1]PFB tests'!G84</f>
        <v>28.652162083002601</v>
      </c>
      <c r="I86" s="30">
        <f t="shared" si="22"/>
        <v>-1.210140312430764E-8</v>
      </c>
      <c r="J86" s="30">
        <f t="shared" si="25"/>
        <v>0.10651335519310937</v>
      </c>
      <c r="K86" s="28">
        <f>'[1]Gurobi tests'!F85</f>
        <v>181619.020877673</v>
      </c>
      <c r="L86" s="28">
        <f>'[1]Gurobi tests'!G85</f>
        <v>3659.61</v>
      </c>
      <c r="M86" s="31">
        <f>'[1]Gurobi tests'!H85/100</f>
        <v>0.28448539506389603</v>
      </c>
      <c r="N86" s="30">
        <f t="shared" si="23"/>
        <v>-9.0017723907258596E-2</v>
      </c>
      <c r="O86" s="30">
        <f t="shared" si="24"/>
        <v>-0.99566839089411174</v>
      </c>
      <c r="P86" s="14"/>
      <c r="Q86" s="20"/>
      <c r="R86" s="20"/>
      <c r="S86" s="2"/>
      <c r="T86" s="2"/>
      <c r="U86" s="2"/>
    </row>
    <row r="87" spans="1:21" x14ac:dyDescent="0.2">
      <c r="A87" s="19" t="s">
        <v>122</v>
      </c>
      <c r="B87" s="14" t="s">
        <v>289</v>
      </c>
      <c r="C87" s="28">
        <f>[1]ALNS!Z257</f>
        <v>177115.8</v>
      </c>
      <c r="D87" s="28">
        <f>[1]ALNS!AA257</f>
        <v>177115.8</v>
      </c>
      <c r="E87" s="29">
        <f>[1]ALNS!AD257</f>
        <v>0</v>
      </c>
      <c r="F87" s="28">
        <f>[1]ALNS!AE257</f>
        <v>120.18200000000002</v>
      </c>
      <c r="G87" s="28">
        <f>'[1]PFB tests'!F85</f>
        <v>179261.57324999999</v>
      </c>
      <c r="H87" s="28">
        <f>'[1]PFB tests'!G85</f>
        <v>59.097714209004998</v>
      </c>
      <c r="I87" s="30">
        <f t="shared" si="22"/>
        <v>-1.1970068158486379E-2</v>
      </c>
      <c r="J87" s="30">
        <f t="shared" si="25"/>
        <v>1.03361503246918</v>
      </c>
      <c r="K87" s="28">
        <f>'[1]Gurobi tests'!F86</f>
        <v>214700.424694999</v>
      </c>
      <c r="L87" s="28">
        <f>'[1]Gurobi tests'!G86</f>
        <v>3698.23</v>
      </c>
      <c r="M87" s="31">
        <f>'[1]Gurobi tests'!H86/100</f>
        <v>0.34334186917640103</v>
      </c>
      <c r="N87" s="30">
        <f t="shared" si="23"/>
        <v>-0.17505612645336546</v>
      </c>
      <c r="O87" s="30">
        <f t="shared" si="24"/>
        <v>-0.98375141621802864</v>
      </c>
      <c r="P87" s="14"/>
      <c r="Q87" s="20"/>
      <c r="R87" s="20"/>
      <c r="S87" s="2"/>
      <c r="T87" s="2"/>
      <c r="U87" s="2"/>
    </row>
    <row r="88" spans="1:21" ht="17" x14ac:dyDescent="0.2">
      <c r="A88" s="19" t="s">
        <v>123</v>
      </c>
      <c r="B88" s="14" t="s">
        <v>289</v>
      </c>
      <c r="C88" s="28">
        <f>[1]ALNS!Z258</f>
        <v>205002.47800000003</v>
      </c>
      <c r="D88" s="28">
        <f>[1]ALNS!AA258</f>
        <v>204008.64</v>
      </c>
      <c r="E88" s="29">
        <f>[1]ALNS!AD258</f>
        <v>6.2180629394612118E-3</v>
      </c>
      <c r="F88" s="28">
        <f>[1]ALNS!AE258</f>
        <v>202.31199999999998</v>
      </c>
      <c r="G88" s="28">
        <f>'[1]PFB tests'!F86</f>
        <v>204008.636499999</v>
      </c>
      <c r="H88" s="28">
        <f>'[1]PFB tests'!G86</f>
        <v>214.926121832999</v>
      </c>
      <c r="I88" s="30">
        <f t="shared" si="22"/>
        <v>4.8715658172688832E-3</v>
      </c>
      <c r="J88" s="30">
        <f t="shared" si="25"/>
        <v>-5.8690501300723188E-2</v>
      </c>
      <c r="K88" s="28" t="str">
        <f>'[1]Gurobi tests'!F87</f>
        <v>Infeasible</v>
      </c>
      <c r="L88" s="28">
        <f>'[1]Gurobi tests'!G87</f>
        <v>3801.58</v>
      </c>
      <c r="M88" s="31" t="s">
        <v>32</v>
      </c>
      <c r="N88" s="30" t="s">
        <v>32</v>
      </c>
      <c r="O88" s="30">
        <f>(F88/2-L88)/L88</f>
        <v>-0.97339106371561301</v>
      </c>
      <c r="P88" s="14"/>
      <c r="Q88" s="20"/>
      <c r="R88" s="20"/>
      <c r="S88" s="2"/>
      <c r="T88" s="2"/>
      <c r="U88" s="2"/>
    </row>
    <row r="89" spans="1:21" ht="17" x14ac:dyDescent="0.2">
      <c r="A89" s="19" t="s">
        <v>124</v>
      </c>
      <c r="B89" s="14" t="s">
        <v>289</v>
      </c>
      <c r="C89" s="28">
        <f>[1]ALNS!Z259</f>
        <v>224523.31600000002</v>
      </c>
      <c r="D89" s="28">
        <f>[1]ALNS!AA259</f>
        <v>224507.41</v>
      </c>
      <c r="E89" s="29">
        <f>[1]ALNS!AD259</f>
        <v>1.5841070710941721E-4</v>
      </c>
      <c r="F89" s="28">
        <f>[1]ALNS!AE259</f>
        <v>312.32000000000005</v>
      </c>
      <c r="G89" s="28">
        <f>'[1]PFB tests'!F87</f>
        <v>226263.90849999999</v>
      </c>
      <c r="H89" s="28">
        <f>'[1]PFB tests'!G87</f>
        <v>421.16644095900102</v>
      </c>
      <c r="I89" s="30">
        <f t="shared" si="22"/>
        <v>-7.6927536147461621E-3</v>
      </c>
      <c r="J89" s="30">
        <f t="shared" si="25"/>
        <v>-0.25844044152985296</v>
      </c>
      <c r="K89" s="28" t="str">
        <f>'[1]Gurobi tests'!F88</f>
        <v>Infeasible</v>
      </c>
      <c r="L89" s="28">
        <f>'[1]Gurobi tests'!G88</f>
        <v>3808.97</v>
      </c>
      <c r="M89" s="31" t="s">
        <v>32</v>
      </c>
      <c r="N89" s="30" t="s">
        <v>32</v>
      </c>
      <c r="O89" s="30">
        <f>(F89/2-L89)/L89</f>
        <v>-0.95900203992155364</v>
      </c>
      <c r="P89" s="14"/>
      <c r="Q89" s="20"/>
      <c r="R89" s="20"/>
      <c r="S89" s="2"/>
      <c r="T89" s="2"/>
      <c r="U89" s="2"/>
    </row>
    <row r="90" spans="1:21" ht="17" x14ac:dyDescent="0.2">
      <c r="A90" s="19" t="s">
        <v>125</v>
      </c>
      <c r="B90" s="14" t="s">
        <v>289</v>
      </c>
      <c r="C90" s="28">
        <f>[1]ALNS!Z260</f>
        <v>263065.65399999998</v>
      </c>
      <c r="D90" s="28">
        <f>[1]ALNS!AA260</f>
        <v>261375.87</v>
      </c>
      <c r="E90" s="29">
        <f>[1]ALNS!AD260</f>
        <v>6.1316278745996659E-3</v>
      </c>
      <c r="F90" s="28">
        <f>[1]ALNS!AE260</f>
        <v>238.85599999999999</v>
      </c>
      <c r="G90" s="28">
        <f>'[1]PFB tests'!F88</f>
        <v>262370.74324999901</v>
      </c>
      <c r="H90" s="28">
        <f>'[1]PFB tests'!G88</f>
        <v>1777.93347625</v>
      </c>
      <c r="I90" s="30">
        <f t="shared" si="22"/>
        <v>2.6485832276612765E-3</v>
      </c>
      <c r="J90" s="30">
        <f t="shared" si="25"/>
        <v>-0.86565526596428521</v>
      </c>
      <c r="K90" s="58" t="s">
        <v>15</v>
      </c>
      <c r="L90" s="58" t="s">
        <v>32</v>
      </c>
      <c r="M90" s="59" t="s">
        <v>32</v>
      </c>
      <c r="N90" s="59" t="s">
        <v>32</v>
      </c>
      <c r="O90" s="30" t="s">
        <v>32</v>
      </c>
      <c r="P90" s="14"/>
      <c r="Q90" s="20"/>
      <c r="R90" s="20"/>
      <c r="S90" s="2"/>
      <c r="T90" s="2"/>
      <c r="U90" s="2"/>
    </row>
    <row r="91" spans="1:21" ht="17" x14ac:dyDescent="0.2">
      <c r="A91" s="19" t="s">
        <v>126</v>
      </c>
      <c r="B91" s="14" t="s">
        <v>289</v>
      </c>
      <c r="C91" s="28">
        <f>[1]ALNS!Z261</f>
        <v>282119.53600000002</v>
      </c>
      <c r="D91" s="28">
        <f>[1]ALNS!AA261</f>
        <v>282041.36</v>
      </c>
      <c r="E91" s="29">
        <f>[1]ALNS!AD261</f>
        <v>1.5490494976664582E-4</v>
      </c>
      <c r="F91" s="28">
        <f>[1]ALNS!AE261</f>
        <v>352.78200000000004</v>
      </c>
      <c r="G91" s="28" t="str">
        <f>'[1]PFB tests'!F89</f>
        <v>Infeasible</v>
      </c>
      <c r="H91" s="28" t="str">
        <f>'[1]PFB tests'!G89</f>
        <v>-</v>
      </c>
      <c r="I91" s="30" t="s">
        <v>32</v>
      </c>
      <c r="J91" s="30" t="s">
        <v>32</v>
      </c>
      <c r="K91" s="58" t="s">
        <v>15</v>
      </c>
      <c r="L91" s="58" t="s">
        <v>32</v>
      </c>
      <c r="M91" s="59" t="s">
        <v>32</v>
      </c>
      <c r="N91" s="59" t="s">
        <v>32</v>
      </c>
      <c r="O91" s="30" t="s">
        <v>32</v>
      </c>
      <c r="P91" s="14"/>
      <c r="Q91" s="20"/>
      <c r="R91" s="20"/>
      <c r="S91" s="2"/>
      <c r="T91" s="2"/>
      <c r="U91" s="2"/>
    </row>
    <row r="92" spans="1:21" ht="17" x14ac:dyDescent="0.2">
      <c r="A92" s="19" t="s">
        <v>127</v>
      </c>
      <c r="B92" s="14" t="s">
        <v>289</v>
      </c>
      <c r="C92" s="28">
        <f>[1]ALNS!Z262</f>
        <v>336673.91799999995</v>
      </c>
      <c r="D92" s="28">
        <f>[1]ALNS!AA262</f>
        <v>336529.41</v>
      </c>
      <c r="E92" s="29">
        <f>[1]ALNS!AD262</f>
        <v>5.8773702912710206E-4</v>
      </c>
      <c r="F92" s="28">
        <f>[1]ALNS!AE262</f>
        <v>438.28600000000006</v>
      </c>
      <c r="G92" s="58" t="s">
        <v>15</v>
      </c>
      <c r="H92" s="58" t="s">
        <v>32</v>
      </c>
      <c r="I92" s="59" t="s">
        <v>32</v>
      </c>
      <c r="J92" s="59" t="s">
        <v>32</v>
      </c>
      <c r="K92" s="58" t="s">
        <v>15</v>
      </c>
      <c r="L92" s="58" t="s">
        <v>32</v>
      </c>
      <c r="M92" s="59" t="s">
        <v>32</v>
      </c>
      <c r="N92" s="59" t="s">
        <v>32</v>
      </c>
      <c r="O92" s="30" t="s">
        <v>32</v>
      </c>
      <c r="P92" s="14"/>
      <c r="Q92" s="20"/>
      <c r="R92" s="20"/>
      <c r="S92" s="2"/>
      <c r="T92" s="2"/>
      <c r="U92" s="2"/>
    </row>
    <row r="93" spans="1:21" ht="17" x14ac:dyDescent="0.2">
      <c r="A93" s="19" t="s">
        <v>128</v>
      </c>
      <c r="B93" s="14" t="s">
        <v>289</v>
      </c>
      <c r="C93" s="28">
        <f>[1]ALNS!Z263</f>
        <v>376459.02599999995</v>
      </c>
      <c r="D93" s="28">
        <f>[1]ALNS!AA263</f>
        <v>376375.03999999998</v>
      </c>
      <c r="E93" s="29">
        <f>[1]ALNS!AD263</f>
        <v>4.9885483462493532E-4</v>
      </c>
      <c r="F93" s="28">
        <f>[1]ALNS!AE263</f>
        <v>320.12599999999998</v>
      </c>
      <c r="G93" s="58" t="s">
        <v>15</v>
      </c>
      <c r="H93" s="58" t="s">
        <v>32</v>
      </c>
      <c r="I93" s="59" t="s">
        <v>32</v>
      </c>
      <c r="J93" s="59" t="s">
        <v>32</v>
      </c>
      <c r="K93" s="58" t="s">
        <v>15</v>
      </c>
      <c r="L93" s="58" t="s">
        <v>32</v>
      </c>
      <c r="M93" s="59" t="s">
        <v>32</v>
      </c>
      <c r="N93" s="59" t="s">
        <v>32</v>
      </c>
      <c r="O93" s="30" t="s">
        <v>32</v>
      </c>
      <c r="P93" s="14"/>
      <c r="Q93" s="20"/>
      <c r="R93" s="20"/>
      <c r="S93" s="2"/>
      <c r="T93" s="2"/>
      <c r="U93" s="2"/>
    </row>
    <row r="94" spans="1:21" x14ac:dyDescent="0.2">
      <c r="A94" s="19"/>
      <c r="B94" s="14"/>
      <c r="C94" s="28"/>
      <c r="D94" s="28"/>
      <c r="E94" s="29"/>
      <c r="F94" s="28"/>
      <c r="G94" s="32"/>
      <c r="H94" s="32"/>
      <c r="I94" s="30"/>
      <c r="J94" s="30"/>
      <c r="K94" s="32"/>
      <c r="L94" s="32"/>
      <c r="M94" s="31"/>
      <c r="N94" s="30"/>
      <c r="O94" s="30"/>
      <c r="P94" s="14"/>
      <c r="Q94" s="20"/>
      <c r="R94" s="20"/>
      <c r="S94" s="2"/>
      <c r="T94" s="2"/>
      <c r="U94" s="2"/>
    </row>
    <row r="95" spans="1:21" ht="17" x14ac:dyDescent="0.2">
      <c r="A95" s="19" t="s">
        <v>129</v>
      </c>
      <c r="B95" s="14" t="s">
        <v>289</v>
      </c>
      <c r="C95" s="6" t="str">
        <f>[1]ALNS!Z265</f>
        <v>Infeasible</v>
      </c>
      <c r="D95" s="6" t="str">
        <f>[1]ALNS!AA265</f>
        <v>-</v>
      </c>
      <c r="E95" s="22" t="str">
        <f>[1]ALNS!AD265</f>
        <v>-</v>
      </c>
      <c r="F95" s="6">
        <f>[1]ALNS!AE265</f>
        <v>15.847999999999999</v>
      </c>
      <c r="G95" s="6" t="str">
        <f>'[1]PFB tests'!F93</f>
        <v>Infeasible</v>
      </c>
      <c r="H95" s="28">
        <f>'[1]PFB tests'!G93</f>
        <v>13.797503709000001</v>
      </c>
      <c r="I95" s="30" t="s">
        <v>32</v>
      </c>
      <c r="J95" s="30">
        <f>(F95-H95)/H95</f>
        <v>0.14861357055932342</v>
      </c>
      <c r="K95" s="32" t="str">
        <f>'[1]Gurobi tests'!F94</f>
        <v>Infeasible</v>
      </c>
      <c r="L95" s="32">
        <f>'[1]Gurobi tests'!G94</f>
        <v>3614.75</v>
      </c>
      <c r="M95" s="31" t="s">
        <v>32</v>
      </c>
      <c r="N95" s="30" t="s">
        <v>32</v>
      </c>
      <c r="O95" s="30">
        <f t="shared" ref="O95:O98" si="26">(F95/2-L95)/L95</f>
        <v>-0.99780787053046549</v>
      </c>
      <c r="P95" s="14"/>
      <c r="Q95" s="20"/>
      <c r="R95" s="20"/>
      <c r="S95" s="2"/>
      <c r="T95" s="2"/>
      <c r="U95" s="2"/>
    </row>
    <row r="96" spans="1:21" ht="17" x14ac:dyDescent="0.2">
      <c r="A96" s="19" t="s">
        <v>130</v>
      </c>
      <c r="B96" s="14" t="s">
        <v>289</v>
      </c>
      <c r="C96" s="6">
        <f>[1]ALNS!Z266</f>
        <v>137015.34</v>
      </c>
      <c r="D96" s="6">
        <f>[1]ALNS!AA266</f>
        <v>137015.34</v>
      </c>
      <c r="E96" s="22">
        <f>[1]ALNS!AD266</f>
        <v>0</v>
      </c>
      <c r="F96" s="6">
        <f>[1]ALNS!AE266</f>
        <v>22.678000000000001</v>
      </c>
      <c r="G96" s="6" t="str">
        <f>'[1]PFB tests'!F94</f>
        <v>Infeasible</v>
      </c>
      <c r="H96" s="28">
        <f>'[1]PFB tests'!G94</f>
        <v>25.747373999998601</v>
      </c>
      <c r="I96" s="30" t="s">
        <v>32</v>
      </c>
      <c r="J96" s="30">
        <f t="shared" ref="J96:J101" si="27">(F96-H96)/H96</f>
        <v>-0.11921114751348105</v>
      </c>
      <c r="K96" s="28">
        <f>'[1]Gurobi tests'!F95</f>
        <v>137015.33397936201</v>
      </c>
      <c r="L96" s="32">
        <f>'[1]Gurobi tests'!G95</f>
        <v>2789.26</v>
      </c>
      <c r="M96" s="31">
        <f>'[1]Gurobi tests'!H95/100</f>
        <v>0</v>
      </c>
      <c r="N96" s="30">
        <f>(C96-K96)/K96</f>
        <v>4.394134445339834E-8</v>
      </c>
      <c r="O96" s="30">
        <f t="shared" si="26"/>
        <v>-0.99593476405928461</v>
      </c>
      <c r="P96" s="14"/>
      <c r="Q96" s="20"/>
      <c r="R96" s="20"/>
      <c r="S96" s="2"/>
      <c r="T96" s="2"/>
      <c r="U96" s="2"/>
    </row>
    <row r="97" spans="1:21" ht="17" x14ac:dyDescent="0.2">
      <c r="A97" s="19" t="s">
        <v>131</v>
      </c>
      <c r="B97" s="14" t="s">
        <v>289</v>
      </c>
      <c r="C97" s="6" t="str">
        <f>[1]ALNS!Z267</f>
        <v>Infeasible</v>
      </c>
      <c r="D97" s="6" t="str">
        <f>[1]ALNS!AA267</f>
        <v>-</v>
      </c>
      <c r="E97" s="22" t="str">
        <f>[1]ALNS!AD267</f>
        <v>-</v>
      </c>
      <c r="F97" s="6">
        <f>[1]ALNS!AE267</f>
        <v>38.690000000000005</v>
      </c>
      <c r="G97" s="6" t="str">
        <f>'[1]PFB tests'!F95</f>
        <v>Infeasible</v>
      </c>
      <c r="H97" s="28">
        <f>'[1]PFB tests'!G95</f>
        <v>24.253645958000501</v>
      </c>
      <c r="I97" s="30" t="s">
        <v>32</v>
      </c>
      <c r="J97" s="30">
        <f t="shared" si="27"/>
        <v>0.59522407752626627</v>
      </c>
      <c r="K97" s="32" t="str">
        <f>'[1]Gurobi tests'!F96</f>
        <v>Infeasible</v>
      </c>
      <c r="L97" s="32">
        <f>'[1]Gurobi tests'!G96</f>
        <v>3658.55</v>
      </c>
      <c r="M97" s="31" t="s">
        <v>32</v>
      </c>
      <c r="N97" s="30" t="s">
        <v>32</v>
      </c>
      <c r="O97" s="30">
        <f t="shared" si="26"/>
        <v>-0.99471238605458456</v>
      </c>
      <c r="P97" s="14"/>
      <c r="Q97" s="20"/>
      <c r="R97" s="20"/>
      <c r="S97" s="2"/>
      <c r="T97" s="2"/>
      <c r="U97" s="2"/>
    </row>
    <row r="98" spans="1:21" ht="17" x14ac:dyDescent="0.2">
      <c r="A98" s="19" t="s">
        <v>132</v>
      </c>
      <c r="B98" s="14" t="s">
        <v>289</v>
      </c>
      <c r="C98" s="6">
        <f>[1]ALNS!Z268</f>
        <v>265387.15199999994</v>
      </c>
      <c r="D98" s="6">
        <f>[1]ALNS!AA268</f>
        <v>263392.45</v>
      </c>
      <c r="E98" s="22">
        <f>[1]ALNS!AD268</f>
        <v>1.1455266241241669E-2</v>
      </c>
      <c r="F98" s="6">
        <f>[1]ALNS!AE268</f>
        <v>212.47599999999997</v>
      </c>
      <c r="G98" s="6" t="str">
        <f>'[1]PFB tests'!F96</f>
        <v>Infeasible</v>
      </c>
      <c r="H98" s="28">
        <f>'[1]PFB tests'!G96</f>
        <v>49.569717541999097</v>
      </c>
      <c r="I98" s="30" t="s">
        <v>32</v>
      </c>
      <c r="J98" s="30">
        <f t="shared" si="27"/>
        <v>3.2864073175316104</v>
      </c>
      <c r="K98" s="32" t="str">
        <f>'[1]Gurobi tests'!F97</f>
        <v>Infeasible</v>
      </c>
      <c r="L98" s="32">
        <f>'[1]Gurobi tests'!G97</f>
        <v>3718.65</v>
      </c>
      <c r="M98" s="31" t="s">
        <v>32</v>
      </c>
      <c r="N98" s="30" t="s">
        <v>32</v>
      </c>
      <c r="O98" s="30">
        <f t="shared" si="26"/>
        <v>-0.97143103007811982</v>
      </c>
      <c r="P98" s="14"/>
      <c r="Q98" s="20"/>
      <c r="R98" s="20"/>
      <c r="S98" s="2"/>
      <c r="T98" s="2"/>
      <c r="U98" s="2"/>
    </row>
    <row r="99" spans="1:21" ht="17" x14ac:dyDescent="0.2">
      <c r="A99" s="19" t="s">
        <v>133</v>
      </c>
      <c r="B99" s="14" t="s">
        <v>289</v>
      </c>
      <c r="C99" s="6">
        <f>[1]ALNS!Z269</f>
        <v>290948.73199999996</v>
      </c>
      <c r="D99" s="6">
        <f>[1]ALNS!AA269</f>
        <v>286788.06</v>
      </c>
      <c r="E99" s="22">
        <f>[1]ALNS!AD269</f>
        <v>1.6603659270102433E-2</v>
      </c>
      <c r="F99" s="6">
        <f>[1]ALNS!AE269</f>
        <v>618.6</v>
      </c>
      <c r="G99" s="6" t="str">
        <f>'[1]PFB tests'!F97</f>
        <v>Infeasible</v>
      </c>
      <c r="H99" s="28">
        <f>'[1]PFB tests'!G97</f>
        <v>194.705182707999</v>
      </c>
      <c r="I99" s="30" t="s">
        <v>32</v>
      </c>
      <c r="J99" s="30">
        <f t="shared" si="27"/>
        <v>2.1771111143339188</v>
      </c>
      <c r="K99" s="32" t="str">
        <f>'[1]Gurobi tests'!F98</f>
        <v>Infeasible</v>
      </c>
      <c r="L99" s="32">
        <f>'[1]Gurobi tests'!G98</f>
        <v>3759.29</v>
      </c>
      <c r="M99" s="31" t="s">
        <v>32</v>
      </c>
      <c r="N99" s="30" t="s">
        <v>32</v>
      </c>
      <c r="O99" s="30">
        <f>(F99/2-L99)/L99</f>
        <v>-0.91772382550960419</v>
      </c>
      <c r="P99" s="14"/>
      <c r="Q99" s="20"/>
      <c r="R99" s="20"/>
      <c r="S99" s="2"/>
      <c r="T99" s="2"/>
      <c r="U99" s="2"/>
    </row>
    <row r="100" spans="1:21" ht="17" x14ac:dyDescent="0.2">
      <c r="A100" s="19" t="s">
        <v>134</v>
      </c>
      <c r="B100" s="14" t="s">
        <v>289</v>
      </c>
      <c r="C100" s="6">
        <f>[1]ALNS!Z270</f>
        <v>330917.83799999999</v>
      </c>
      <c r="D100" s="6">
        <f>[1]ALNS!AA270</f>
        <v>323701.78999999998</v>
      </c>
      <c r="E100" s="22">
        <f>[1]ALNS!AD270</f>
        <v>1.3745307188856498E-2</v>
      </c>
      <c r="F100" s="6">
        <f>[1]ALNS!AE270</f>
        <v>1100.954</v>
      </c>
      <c r="G100" s="6" t="str">
        <f>'[1]PFB tests'!F98</f>
        <v>Infeasible</v>
      </c>
      <c r="H100" s="28">
        <f>'[1]PFB tests'!G98</f>
        <v>403.67613404100098</v>
      </c>
      <c r="I100" s="30" t="s">
        <v>32</v>
      </c>
      <c r="J100" s="30">
        <f t="shared" si="27"/>
        <v>1.7273200151292005</v>
      </c>
      <c r="K100" s="32" t="str">
        <f>'[1]Gurobi tests'!F99</f>
        <v>Infeasible</v>
      </c>
      <c r="L100" s="32">
        <f>'[1]Gurobi tests'!G99</f>
        <v>3853.26</v>
      </c>
      <c r="M100" s="31" t="s">
        <v>32</v>
      </c>
      <c r="N100" s="30" t="s">
        <v>32</v>
      </c>
      <c r="O100" s="30">
        <f>(F100/2-L100)/L100</f>
        <v>-0.85713992826853114</v>
      </c>
      <c r="P100" s="14"/>
      <c r="Q100" s="20"/>
      <c r="R100" s="20"/>
      <c r="S100" s="2"/>
      <c r="T100" s="2"/>
      <c r="U100" s="2"/>
    </row>
    <row r="101" spans="1:21" ht="17" x14ac:dyDescent="0.2">
      <c r="A101" s="19" t="s">
        <v>135</v>
      </c>
      <c r="B101" s="14" t="s">
        <v>289</v>
      </c>
      <c r="C101" s="6">
        <f>[1]ALNS!Z271</f>
        <v>322077.10600000003</v>
      </c>
      <c r="D101" s="6">
        <f>[1]ALNS!AA271</f>
        <v>321892.21000000002</v>
      </c>
      <c r="E101" s="22">
        <f>[1]ALNS!AD271</f>
        <v>7.8608280521864492E-4</v>
      </c>
      <c r="F101" s="6">
        <f>[1]ALNS!AE271</f>
        <v>1417.664</v>
      </c>
      <c r="G101" s="6">
        <f>'[1]PFB tests'!F99</f>
        <v>338148.90859999898</v>
      </c>
      <c r="H101" s="28">
        <f>'[1]PFB tests'!G99</f>
        <v>1658.40432108399</v>
      </c>
      <c r="I101" s="30">
        <f>(C101-G101)/G101</f>
        <v>-4.7528772653856188E-2</v>
      </c>
      <c r="J101" s="30">
        <f t="shared" si="27"/>
        <v>-0.14516382888259352</v>
      </c>
      <c r="K101" s="58" t="s">
        <v>15</v>
      </c>
      <c r="L101" s="58" t="s">
        <v>32</v>
      </c>
      <c r="M101" s="59" t="s">
        <v>32</v>
      </c>
      <c r="N101" s="59" t="s">
        <v>32</v>
      </c>
      <c r="O101" s="30" t="s">
        <v>32</v>
      </c>
      <c r="P101" s="14"/>
      <c r="Q101" s="20"/>
      <c r="R101" s="20"/>
      <c r="S101" s="2"/>
      <c r="T101" s="2"/>
      <c r="U101" s="2"/>
    </row>
    <row r="102" spans="1:21" ht="17" x14ac:dyDescent="0.2">
      <c r="A102" s="19" t="s">
        <v>136</v>
      </c>
      <c r="B102" s="14" t="s">
        <v>289</v>
      </c>
      <c r="C102" s="6">
        <f>[1]ALNS!Z272</f>
        <v>378779.21199999994</v>
      </c>
      <c r="D102" s="6">
        <f>[1]ALNS!AA272</f>
        <v>367469.57</v>
      </c>
      <c r="E102" s="22">
        <f>[1]ALNS!AD272</f>
        <v>2.4076347155807989E-2</v>
      </c>
      <c r="F102" s="6">
        <f>[1]ALNS!AE272</f>
        <v>1235.338</v>
      </c>
      <c r="G102" s="6" t="str">
        <f>'[1]PFB tests'!F100</f>
        <v>Infeasible</v>
      </c>
      <c r="H102" s="28" t="str">
        <f>'[1]PFB tests'!G100</f>
        <v>-</v>
      </c>
      <c r="I102" s="30" t="s">
        <v>32</v>
      </c>
      <c r="J102" s="30" t="s">
        <v>32</v>
      </c>
      <c r="K102" s="58" t="s">
        <v>15</v>
      </c>
      <c r="L102" s="58" t="s">
        <v>32</v>
      </c>
      <c r="M102" s="59" t="s">
        <v>32</v>
      </c>
      <c r="N102" s="59" t="s">
        <v>32</v>
      </c>
      <c r="O102" s="30" t="s">
        <v>32</v>
      </c>
      <c r="P102" s="14"/>
      <c r="Q102" s="20"/>
      <c r="R102" s="20"/>
      <c r="S102" s="2"/>
      <c r="T102" s="2"/>
      <c r="U102" s="2"/>
    </row>
    <row r="103" spans="1:21" ht="17" x14ac:dyDescent="0.2">
      <c r="A103" s="19" t="s">
        <v>137</v>
      </c>
      <c r="B103" s="14" t="s">
        <v>289</v>
      </c>
      <c r="C103" s="6">
        <f>[1]ALNS!Z273</f>
        <v>457681.69199999998</v>
      </c>
      <c r="D103" s="6">
        <f>[1]ALNS!AA273</f>
        <v>454475.1</v>
      </c>
      <c r="E103" s="22">
        <f>[1]ALNS!AD273</f>
        <v>8.4957848590259399E-3</v>
      </c>
      <c r="F103" s="6">
        <f>[1]ALNS!AE273</f>
        <v>1401.23</v>
      </c>
      <c r="G103" s="58" t="s">
        <v>15</v>
      </c>
      <c r="H103" s="58" t="s">
        <v>32</v>
      </c>
      <c r="I103" s="59" t="s">
        <v>32</v>
      </c>
      <c r="J103" s="59" t="s">
        <v>32</v>
      </c>
      <c r="K103" s="58" t="s">
        <v>15</v>
      </c>
      <c r="L103" s="58" t="s">
        <v>32</v>
      </c>
      <c r="M103" s="59" t="s">
        <v>32</v>
      </c>
      <c r="N103" s="59" t="s">
        <v>32</v>
      </c>
      <c r="O103" s="30" t="s">
        <v>32</v>
      </c>
      <c r="P103" s="14"/>
      <c r="Q103" s="20"/>
      <c r="R103" s="20"/>
      <c r="S103" s="2"/>
      <c r="T103" s="2"/>
      <c r="U103" s="2"/>
    </row>
    <row r="104" spans="1:21" ht="17" x14ac:dyDescent="0.2">
      <c r="A104" s="19" t="s">
        <v>138</v>
      </c>
      <c r="B104" s="14" t="s">
        <v>289</v>
      </c>
      <c r="C104" s="6">
        <f>[1]ALNS!Z274</f>
        <v>490450.46400000004</v>
      </c>
      <c r="D104" s="6">
        <f>[1]ALNS!AA274</f>
        <v>488964.65</v>
      </c>
      <c r="E104" s="22">
        <f>[1]ALNS!AD274</f>
        <v>1.8363218983700198E-3</v>
      </c>
      <c r="F104" s="6">
        <f>[1]ALNS!AE274</f>
        <v>1155.1420000000001</v>
      </c>
      <c r="G104" s="58" t="s">
        <v>15</v>
      </c>
      <c r="H104" s="58" t="s">
        <v>32</v>
      </c>
      <c r="I104" s="59" t="s">
        <v>32</v>
      </c>
      <c r="J104" s="59" t="s">
        <v>32</v>
      </c>
      <c r="K104" s="58" t="s">
        <v>15</v>
      </c>
      <c r="L104" s="58" t="s">
        <v>32</v>
      </c>
      <c r="M104" s="59" t="s">
        <v>32</v>
      </c>
      <c r="N104" s="59" t="s">
        <v>32</v>
      </c>
      <c r="O104" s="32" t="s">
        <v>32</v>
      </c>
      <c r="P104" s="14"/>
      <c r="Q104" s="20"/>
      <c r="R104" s="20"/>
      <c r="S104" s="2"/>
      <c r="T104" s="2"/>
      <c r="U104" s="2"/>
    </row>
    <row r="105" spans="1:21" x14ac:dyDescent="0.2">
      <c r="A105" s="14"/>
      <c r="B105" s="14"/>
      <c r="C105" s="32"/>
      <c r="D105" s="32"/>
      <c r="E105" s="32"/>
      <c r="F105" s="32"/>
      <c r="G105" s="32"/>
      <c r="H105" s="32"/>
      <c r="I105" s="30"/>
      <c r="J105" s="30"/>
      <c r="K105" s="32"/>
      <c r="L105" s="32"/>
      <c r="M105" s="31"/>
      <c r="N105" s="30"/>
      <c r="O105" s="30"/>
      <c r="P105" s="14"/>
      <c r="Q105" s="20"/>
      <c r="R105" s="20"/>
      <c r="S105" s="2"/>
      <c r="T105" s="2"/>
      <c r="U105" s="2"/>
    </row>
    <row r="106" spans="1:21" x14ac:dyDescent="0.2">
      <c r="A106" s="19" t="s">
        <v>139</v>
      </c>
      <c r="B106" s="14" t="s">
        <v>289</v>
      </c>
      <c r="C106" s="28">
        <f>[1]ALNS!Z276</f>
        <v>68270.77</v>
      </c>
      <c r="D106" s="28">
        <f>[1]ALNS!AA276</f>
        <v>68270.77</v>
      </c>
      <c r="E106" s="29">
        <f>[1]ALNS!AD276</f>
        <v>0</v>
      </c>
      <c r="F106" s="28">
        <f>[1]ALNS!AE276</f>
        <v>15.038</v>
      </c>
      <c r="G106" s="28">
        <f>'[1]PFB tests'!F104</f>
        <v>69217.776054999995</v>
      </c>
      <c r="H106" s="28">
        <f>'[1]PFB tests'!G104</f>
        <v>16.788046666995701</v>
      </c>
      <c r="I106" s="30">
        <f t="shared" ref="I106:I112" si="28">(C106-G106)/G106</f>
        <v>-1.3681544091325701E-2</v>
      </c>
      <c r="J106" s="30">
        <f>(F106-H106)/H106</f>
        <v>-0.10424361462112135</v>
      </c>
      <c r="K106" s="28">
        <f>'[1]Gurobi tests'!F105</f>
        <v>68270.771999999997</v>
      </c>
      <c r="L106" s="32">
        <f>'[1]Gurobi tests'!G105</f>
        <v>136.31</v>
      </c>
      <c r="M106" s="33">
        <f>'[1]Gurobi tests'!H105/100</f>
        <v>0</v>
      </c>
      <c r="N106" s="30">
        <f t="shared" ref="N106:N109" si="29">(C106-K106)/K106</f>
        <v>-2.9295113187404648E-8</v>
      </c>
      <c r="O106" s="30">
        <f>(F106/2-L106)/L106</f>
        <v>-0.94483896999486461</v>
      </c>
      <c r="P106" s="14"/>
      <c r="Q106" s="20"/>
      <c r="R106" s="20"/>
      <c r="S106" s="2"/>
      <c r="T106" s="2"/>
      <c r="U106" s="2"/>
    </row>
    <row r="107" spans="1:21" x14ac:dyDescent="0.2">
      <c r="A107" s="19" t="s">
        <v>140</v>
      </c>
      <c r="B107" s="14" t="s">
        <v>289</v>
      </c>
      <c r="C107" s="28">
        <f>[1]ALNS!Z277</f>
        <v>84664.8</v>
      </c>
      <c r="D107" s="28">
        <f>[1]ALNS!AA277</f>
        <v>84664.8</v>
      </c>
      <c r="E107" s="29">
        <f>[1]ALNS!AD277</f>
        <v>0</v>
      </c>
      <c r="F107" s="28">
        <f>[1]ALNS!AE277</f>
        <v>21.672000000000004</v>
      </c>
      <c r="G107" s="28">
        <f>'[1]PFB tests'!F105</f>
        <v>84664.823999999993</v>
      </c>
      <c r="H107" s="28">
        <f>'[1]PFB tests'!G105</f>
        <v>23.5999784160012</v>
      </c>
      <c r="I107" s="30">
        <f t="shared" si="28"/>
        <v>-2.8347073620961557E-7</v>
      </c>
      <c r="J107" s="30">
        <f t="shared" ref="J107:J112" si="30">(F107-H107)/H107</f>
        <v>-8.1694075393475465E-2</v>
      </c>
      <c r="K107" s="28">
        <f>'[1]Gurobi tests'!F106</f>
        <v>84664.823999999993</v>
      </c>
      <c r="L107" s="32">
        <f>'[1]Gurobi tests'!G106</f>
        <v>78.08</v>
      </c>
      <c r="M107" s="33">
        <f>'[1]Gurobi tests'!H106/100</f>
        <v>0</v>
      </c>
      <c r="N107" s="30">
        <f t="shared" si="29"/>
        <v>-2.8347073620961557E-7</v>
      </c>
      <c r="O107" s="30">
        <f t="shared" ref="O107:O109" si="31">(F107/2-L107)/L107</f>
        <v>-0.86121926229508194</v>
      </c>
      <c r="P107" s="14"/>
      <c r="Q107" s="20"/>
      <c r="R107" s="20"/>
      <c r="S107" s="2"/>
      <c r="T107" s="2"/>
      <c r="U107" s="2"/>
    </row>
    <row r="108" spans="1:21" x14ac:dyDescent="0.2">
      <c r="A108" s="19" t="s">
        <v>141</v>
      </c>
      <c r="B108" s="14" t="s">
        <v>289</v>
      </c>
      <c r="C108" s="28">
        <f>[1]ALNS!Z278</f>
        <v>134054.82999999999</v>
      </c>
      <c r="D108" s="28">
        <f>[1]ALNS!AA278</f>
        <v>134054.82999999999</v>
      </c>
      <c r="E108" s="29">
        <f>[1]ALNS!AD278</f>
        <v>0</v>
      </c>
      <c r="F108" s="28">
        <f>[1]ALNS!AE278</f>
        <v>28.086000000000002</v>
      </c>
      <c r="G108" s="28">
        <f>'[1]PFB tests'!F106</f>
        <v>134054.83210999999</v>
      </c>
      <c r="H108" s="28">
        <f>'[1]PFB tests'!G106</f>
        <v>29.149904790996501</v>
      </c>
      <c r="I108" s="30">
        <f t="shared" si="28"/>
        <v>-1.5739828009595489E-8</v>
      </c>
      <c r="J108" s="30">
        <f t="shared" si="30"/>
        <v>-3.6497710665768845E-2</v>
      </c>
      <c r="K108" s="28">
        <f>'[1]Gurobi tests'!F107</f>
        <v>134054.82298183601</v>
      </c>
      <c r="L108" s="32">
        <f>'[1]Gurobi tests'!G107</f>
        <v>926.69</v>
      </c>
      <c r="M108" s="33">
        <f>'[1]Gurobi tests'!H107/100</f>
        <v>0</v>
      </c>
      <c r="N108" s="30">
        <f t="shared" si="29"/>
        <v>5.2352939034602907E-8</v>
      </c>
      <c r="O108" s="30">
        <f t="shared" si="31"/>
        <v>-0.98484606502713956</v>
      </c>
      <c r="P108" s="14"/>
      <c r="Q108" s="20"/>
      <c r="R108" s="20"/>
      <c r="S108" s="2"/>
      <c r="T108" s="2"/>
      <c r="U108" s="2"/>
    </row>
    <row r="109" spans="1:21" x14ac:dyDescent="0.2">
      <c r="A109" s="19" t="s">
        <v>142</v>
      </c>
      <c r="B109" s="14" t="s">
        <v>289</v>
      </c>
      <c r="C109" s="28">
        <f>[1]ALNS!Z279</f>
        <v>163137.12</v>
      </c>
      <c r="D109" s="28">
        <f>[1]ALNS!AA279</f>
        <v>163137.12</v>
      </c>
      <c r="E109" s="29">
        <f>[1]ALNS!AD279</f>
        <v>0</v>
      </c>
      <c r="F109" s="28">
        <f>[1]ALNS!AE279</f>
        <v>36.118000000000009</v>
      </c>
      <c r="G109" s="28">
        <f>'[1]PFB tests'!F107</f>
        <v>163137.120165</v>
      </c>
      <c r="H109" s="28">
        <f>'[1]PFB tests'!G107</f>
        <v>37.0029802920034</v>
      </c>
      <c r="I109" s="30">
        <f t="shared" si="28"/>
        <v>-1.011419134773326E-9</v>
      </c>
      <c r="J109" s="30">
        <f t="shared" si="30"/>
        <v>-2.3916459837010514E-2</v>
      </c>
      <c r="K109" s="28">
        <f>'[1]Gurobi tests'!F108</f>
        <v>163692.44399999999</v>
      </c>
      <c r="L109" s="32">
        <f>'[1]Gurobi tests'!G108</f>
        <v>3706.02</v>
      </c>
      <c r="M109" s="33">
        <f>'[1]Gurobi tests'!H108/100</f>
        <v>0.11279933042696</v>
      </c>
      <c r="N109" s="30">
        <f t="shared" si="29"/>
        <v>-3.3924840171608243E-3</v>
      </c>
      <c r="O109" s="30">
        <f t="shared" si="31"/>
        <v>-0.99512711750071503</v>
      </c>
      <c r="P109" s="14"/>
      <c r="Q109" s="20"/>
      <c r="R109" s="20"/>
      <c r="S109" s="2"/>
      <c r="T109" s="2"/>
      <c r="U109" s="2"/>
    </row>
    <row r="110" spans="1:21" x14ac:dyDescent="0.2">
      <c r="A110" s="19" t="s">
        <v>143</v>
      </c>
      <c r="B110" s="14" t="s">
        <v>289</v>
      </c>
      <c r="C110" s="28">
        <f>[1]ALNS!Z280</f>
        <v>177075.29</v>
      </c>
      <c r="D110" s="28">
        <f>[1]ALNS!AA280</f>
        <v>177075.29</v>
      </c>
      <c r="E110" s="29">
        <f>[1]ALNS!AD280</f>
        <v>0</v>
      </c>
      <c r="F110" s="28">
        <f>[1]ALNS!AE280</f>
        <v>45.152000000000001</v>
      </c>
      <c r="G110" s="28">
        <f>'[1]PFB tests'!F108</f>
        <v>177075.28810999999</v>
      </c>
      <c r="H110" s="28">
        <f>'[1]PFB tests'!G108</f>
        <v>57.5231888750058</v>
      </c>
      <c r="I110" s="30">
        <f t="shared" si="28"/>
        <v>1.0673426169585825E-8</v>
      </c>
      <c r="J110" s="30">
        <f t="shared" si="30"/>
        <v>-0.21506437867844216</v>
      </c>
      <c r="K110" s="32">
        <f>'[1]Gurobi tests'!F109</f>
        <v>179503.44</v>
      </c>
      <c r="L110" s="32">
        <f>'[1]Gurobi tests'!G109</f>
        <v>3743.89</v>
      </c>
      <c r="M110" s="33">
        <f>'[1]Gurobi tests'!H109/100</f>
        <v>0.13089107391451699</v>
      </c>
      <c r="N110" s="30">
        <f>(C110-K110)/K110</f>
        <v>-1.3527038813295133E-2</v>
      </c>
      <c r="O110" s="30">
        <f>(F110/2-L110)/L110</f>
        <v>-0.99396990830392984</v>
      </c>
      <c r="P110" s="14"/>
      <c r="Q110" s="20"/>
      <c r="R110" s="20"/>
      <c r="S110" s="2"/>
      <c r="T110" s="2"/>
      <c r="U110" s="2"/>
    </row>
    <row r="111" spans="1:21" x14ac:dyDescent="0.2">
      <c r="A111" s="19" t="s">
        <v>144</v>
      </c>
      <c r="B111" s="14" t="s">
        <v>289</v>
      </c>
      <c r="C111" s="28">
        <f>[1]ALNS!Z281</f>
        <v>185746.72</v>
      </c>
      <c r="D111" s="28">
        <f>[1]ALNS!AA281</f>
        <v>185746.72</v>
      </c>
      <c r="E111" s="29">
        <f>[1]ALNS!AD281</f>
        <v>0</v>
      </c>
      <c r="F111" s="28">
        <f>[1]ALNS!AE281</f>
        <v>63.866000000000007</v>
      </c>
      <c r="G111" s="28">
        <f>'[1]PFB tests'!F109</f>
        <v>186148.99210999999</v>
      </c>
      <c r="H111" s="28">
        <f>'[1]PFB tests'!G109</f>
        <v>323.21172141699901</v>
      </c>
      <c r="I111" s="30">
        <f t="shared" si="28"/>
        <v>-2.1610222297753744E-3</v>
      </c>
      <c r="J111" s="30">
        <f t="shared" si="30"/>
        <v>-0.80240196822069521</v>
      </c>
      <c r="K111" s="32">
        <f>'[1]Gurobi tests'!F110</f>
        <v>209837.07599999901</v>
      </c>
      <c r="L111" s="32">
        <f>'[1]Gurobi tests'!G110</f>
        <v>3815.57</v>
      </c>
      <c r="M111" s="33">
        <f>'[1]Gurobi tests'!H110/100</f>
        <v>0.184741935184982</v>
      </c>
      <c r="N111" s="30">
        <f>(C111-K111)/K111</f>
        <v>-0.11480504999030354</v>
      </c>
      <c r="O111" s="30">
        <f>(F111/2-L111)/L111</f>
        <v>-0.99163087035488795</v>
      </c>
      <c r="P111" s="14"/>
      <c r="Q111" s="20"/>
      <c r="R111" s="20"/>
      <c r="S111" s="2"/>
      <c r="T111" s="2"/>
      <c r="U111" s="2"/>
    </row>
    <row r="112" spans="1:21" x14ac:dyDescent="0.2">
      <c r="A112" s="19" t="s">
        <v>145</v>
      </c>
      <c r="B112" s="14" t="s">
        <v>289</v>
      </c>
      <c r="C112" s="28">
        <f>[1]ALNS!Z282</f>
        <v>223866.96000000002</v>
      </c>
      <c r="D112" s="28">
        <f>[1]ALNS!AA282</f>
        <v>223866.96</v>
      </c>
      <c r="E112" s="29">
        <f>[1]ALNS!AD282</f>
        <v>1.4535004028036408E-16</v>
      </c>
      <c r="F112" s="28">
        <f>[1]ALNS!AE282</f>
        <v>75.424000000000007</v>
      </c>
      <c r="G112" s="28">
        <f>'[1]PFB tests'!F110</f>
        <v>225047.30411</v>
      </c>
      <c r="H112" s="28">
        <f>'[1]PFB tests'!G110</f>
        <v>507.08136620800298</v>
      </c>
      <c r="I112" s="30">
        <f t="shared" si="28"/>
        <v>-5.2448711379499153E-3</v>
      </c>
      <c r="J112" s="30">
        <f t="shared" si="30"/>
        <v>-0.85125858486178063</v>
      </c>
      <c r="K112" s="32">
        <f>'[1]Gurobi tests'!F111</f>
        <v>236757.08404947899</v>
      </c>
      <c r="L112" s="32">
        <f>'[1]Gurobi tests'!G111</f>
        <v>3913.12</v>
      </c>
      <c r="M112" s="33">
        <f>'[1]Gurobi tests'!H111/100</f>
        <v>0.18454718469046502</v>
      </c>
      <c r="N112" s="30">
        <f>(C112-K112)/K112</f>
        <v>-5.4444512616083358E-2</v>
      </c>
      <c r="O112" s="30">
        <f>(F112/2-L112)/L112</f>
        <v>-0.99036267735208738</v>
      </c>
      <c r="P112" s="14"/>
      <c r="Q112" s="20"/>
      <c r="R112" s="20"/>
      <c r="S112" s="2"/>
      <c r="T112" s="2"/>
      <c r="U112" s="2"/>
    </row>
    <row r="113" spans="1:21" x14ac:dyDescent="0.2">
      <c r="A113" s="19" t="s">
        <v>146</v>
      </c>
      <c r="B113" s="14" t="s">
        <v>289</v>
      </c>
      <c r="C113" s="28">
        <f>[1]ALNS!Z283</f>
        <v>235013.7</v>
      </c>
      <c r="D113" s="28">
        <f>[1]ALNS!AA283</f>
        <v>234327.55</v>
      </c>
      <c r="E113" s="29">
        <f>[1]ALNS!AD283</f>
        <v>6.5284621397028375E-3</v>
      </c>
      <c r="F113" s="28">
        <f>[1]ALNS!AE283</f>
        <v>90.28</v>
      </c>
      <c r="G113" s="28">
        <f>'[1]PFB tests'!F111</f>
        <v>234683.92811000001</v>
      </c>
      <c r="H113" s="28">
        <f>'[1]PFB tests'!G111</f>
        <v>3579.07647825</v>
      </c>
      <c r="I113" s="30"/>
      <c r="J113" s="30"/>
      <c r="K113" s="32">
        <f>'[1]Gurobi tests'!F112</f>
        <v>256146.576</v>
      </c>
      <c r="L113" s="32">
        <f>'[1]Gurobi tests'!G112</f>
        <v>4005.44</v>
      </c>
      <c r="M113" s="33">
        <f>'[1]Gurobi tests'!H112/100</f>
        <v>0.23133138560076802</v>
      </c>
      <c r="N113" s="30">
        <f>(C113-K113)/K113</f>
        <v>-8.2503058717443054E-2</v>
      </c>
      <c r="O113" s="30">
        <f>(F113/2-L113)/L113</f>
        <v>-0.98873032675561245</v>
      </c>
      <c r="P113" s="14"/>
      <c r="Q113" s="20"/>
      <c r="R113" s="20"/>
      <c r="S113" s="2"/>
      <c r="T113" s="2"/>
      <c r="U113" s="2"/>
    </row>
    <row r="114" spans="1:21" x14ac:dyDescent="0.2">
      <c r="A114" s="19" t="s">
        <v>147</v>
      </c>
      <c r="B114" s="14" t="s">
        <v>289</v>
      </c>
      <c r="C114" s="28">
        <f>[1]ALNS!Z284</f>
        <v>266831.71999999997</v>
      </c>
      <c r="D114" s="28">
        <f>[1]ALNS!AA284</f>
        <v>266831.71999999997</v>
      </c>
      <c r="E114" s="29">
        <f>[1]ALNS!AD284</f>
        <v>0</v>
      </c>
      <c r="F114" s="28">
        <f>[1]ALNS!AE284</f>
        <v>95.3</v>
      </c>
      <c r="G114" s="28"/>
      <c r="H114" s="28"/>
      <c r="I114" s="30"/>
      <c r="J114" s="32"/>
      <c r="K114" s="32">
        <f>'[1]Gurobi tests'!F113</f>
        <v>300574.95600000001</v>
      </c>
      <c r="L114" s="32">
        <f>'[1]Gurobi tests'!G113</f>
        <v>4188.51</v>
      </c>
      <c r="M114" s="33">
        <f>'[1]Gurobi tests'!H113/100</f>
        <v>0.26214824618303001</v>
      </c>
      <c r="N114" s="30">
        <f>(C114-K114)/K114</f>
        <v>-0.11226230038939117</v>
      </c>
      <c r="O114" s="30">
        <f>(F114/2-L114)/L114</f>
        <v>-0.98862363943263842</v>
      </c>
      <c r="P114" s="14"/>
      <c r="Q114" s="20"/>
      <c r="R114" s="20"/>
      <c r="S114" s="2"/>
      <c r="T114" s="2"/>
      <c r="U114" s="2"/>
    </row>
    <row r="115" spans="1:21" x14ac:dyDescent="0.2">
      <c r="A115" s="19" t="s">
        <v>148</v>
      </c>
      <c r="B115" s="14" t="s">
        <v>289</v>
      </c>
      <c r="C115" s="28">
        <f>[1]ALNS!Z285</f>
        <v>290137.15000000002</v>
      </c>
      <c r="D115" s="28">
        <f>[1]ALNS!AA285</f>
        <v>290137.15000000002</v>
      </c>
      <c r="E115" s="29">
        <f>[1]ALNS!AD285</f>
        <v>0</v>
      </c>
      <c r="F115" s="28">
        <f>[1]ALNS!AE285</f>
        <v>106.28399999999999</v>
      </c>
      <c r="G115" s="32"/>
      <c r="H115" s="32"/>
      <c r="I115" s="30"/>
      <c r="J115" s="32"/>
      <c r="K115" s="32"/>
      <c r="L115" s="32"/>
      <c r="M115" s="32"/>
      <c r="N115" s="32"/>
      <c r="O115" s="32"/>
      <c r="P115" s="14"/>
      <c r="Q115" s="20"/>
      <c r="R115" s="20"/>
      <c r="S115" s="2"/>
      <c r="T115" s="2"/>
      <c r="U115" s="2"/>
    </row>
    <row r="116" spans="1:21" x14ac:dyDescent="0.2">
      <c r="A116" s="14"/>
      <c r="B116" s="14"/>
      <c r="C116" s="28"/>
      <c r="D116" s="28"/>
      <c r="E116" s="29"/>
      <c r="F116" s="28"/>
      <c r="G116" s="32"/>
      <c r="H116" s="32"/>
      <c r="I116" s="30"/>
      <c r="J116" s="32"/>
      <c r="K116" s="32"/>
      <c r="L116" s="32"/>
      <c r="M116" s="32"/>
      <c r="N116" s="32"/>
      <c r="O116" s="32"/>
      <c r="P116" s="14"/>
      <c r="Q116" s="20"/>
      <c r="R116" s="20"/>
      <c r="S116" s="2"/>
      <c r="T116" s="2"/>
      <c r="U116" s="2"/>
    </row>
    <row r="117" spans="1:21" x14ac:dyDescent="0.2">
      <c r="A117" s="19" t="s">
        <v>149</v>
      </c>
      <c r="B117" s="14" t="s">
        <v>289</v>
      </c>
      <c r="C117" s="28">
        <f>[1]ALNS!Z287</f>
        <v>87769.85</v>
      </c>
      <c r="D117" s="28">
        <f>[1]ALNS!AA287</f>
        <v>87769.85</v>
      </c>
      <c r="E117" s="29">
        <f>[1]ALNS!AD287</f>
        <v>0</v>
      </c>
      <c r="F117" s="28">
        <f>[1]ALNS!AE287</f>
        <v>17.440000000000001</v>
      </c>
      <c r="G117" s="28">
        <f>'[1]PFB tests'!F115</f>
        <v>87769.845499999996</v>
      </c>
      <c r="H117" s="28">
        <f>'[1]PFB tests'!G115</f>
        <v>17.029024000003101</v>
      </c>
      <c r="I117" s="30">
        <f t="shared" ref="I117:I123" si="32">(C117-G117)/G117</f>
        <v>5.1270456093166049E-8</v>
      </c>
      <c r="J117" s="30">
        <f>(F117-H117)/H117</f>
        <v>2.4133855234265051E-2</v>
      </c>
      <c r="K117" s="28">
        <f>'[1]Gurobi tests'!F116</f>
        <v>87769.845499999705</v>
      </c>
      <c r="L117" s="32">
        <f>'[1]Gurobi tests'!G116</f>
        <v>598.79999999999995</v>
      </c>
      <c r="M117" s="33">
        <f>'[1]Gurobi tests'!H116/100</f>
        <v>0</v>
      </c>
      <c r="N117" s="30">
        <f>(C117-K117)/K117</f>
        <v>5.127045940909213E-8</v>
      </c>
      <c r="O117" s="30">
        <f>(F117/2-L117)/L117</f>
        <v>-0.98543754175016696</v>
      </c>
      <c r="P117" s="14"/>
      <c r="Q117" s="20"/>
      <c r="R117" s="20"/>
      <c r="S117" s="2"/>
      <c r="T117" s="2"/>
      <c r="U117" s="2"/>
    </row>
    <row r="118" spans="1:21" x14ac:dyDescent="0.2">
      <c r="A118" s="19" t="s">
        <v>150</v>
      </c>
      <c r="B118" s="14" t="s">
        <v>289</v>
      </c>
      <c r="C118" s="28">
        <f>[1]ALNS!Z288</f>
        <v>104067.18</v>
      </c>
      <c r="D118" s="28">
        <f>[1]ALNS!AA288</f>
        <v>104067.18</v>
      </c>
      <c r="E118" s="29">
        <f>[1]ALNS!AD288</f>
        <v>0</v>
      </c>
      <c r="F118" s="28">
        <f>[1]ALNS!AE288</f>
        <v>21.706</v>
      </c>
      <c r="G118" s="28">
        <f>'[1]PFB tests'!F116</f>
        <v>104067.1795</v>
      </c>
      <c r="H118" s="28">
        <f>'[1]PFB tests'!G116</f>
        <v>23.660314332999398</v>
      </c>
      <c r="I118" s="30">
        <f t="shared" si="32"/>
        <v>4.8045886997917071E-9</v>
      </c>
      <c r="J118" s="30">
        <f t="shared" ref="J118:J123" si="33">(F118-H118)/H118</f>
        <v>-8.2598832183462881E-2</v>
      </c>
      <c r="K118" s="28">
        <f>'[1]Gurobi tests'!F117</f>
        <v>104067.1795</v>
      </c>
      <c r="L118" s="32">
        <f>'[1]Gurobi tests'!G117</f>
        <v>92.72</v>
      </c>
      <c r="M118" s="33">
        <f>'[1]Gurobi tests'!H117/100</f>
        <v>0</v>
      </c>
      <c r="N118" s="30">
        <f>(C118-K118)/K118</f>
        <v>4.8045886997917071E-9</v>
      </c>
      <c r="O118" s="30">
        <f t="shared" ref="O118:O120" si="34">(F118/2-L118)/L118</f>
        <v>-0.8829486626402071</v>
      </c>
      <c r="P118" s="14"/>
      <c r="Q118" s="20"/>
      <c r="R118" s="20"/>
      <c r="S118" s="2"/>
      <c r="T118" s="2"/>
      <c r="U118" s="2"/>
    </row>
    <row r="119" spans="1:21" x14ac:dyDescent="0.2">
      <c r="A119" s="19" t="s">
        <v>151</v>
      </c>
      <c r="B119" s="14" t="s">
        <v>289</v>
      </c>
      <c r="C119" s="28">
        <f>[1]ALNS!Z289</f>
        <v>179305.03</v>
      </c>
      <c r="D119" s="28">
        <f>[1]ALNS!AA289</f>
        <v>179305.03</v>
      </c>
      <c r="E119" s="29">
        <f>[1]ALNS!AD289</f>
        <v>0</v>
      </c>
      <c r="F119" s="28">
        <f>[1]ALNS!AE289</f>
        <v>34.700000000000003</v>
      </c>
      <c r="G119" s="28">
        <f>'[1]PFB tests'!F117</f>
        <v>179305.02674999999</v>
      </c>
      <c r="H119" s="28">
        <f>'[1]PFB tests'!G117</f>
        <v>30.628695625004099</v>
      </c>
      <c r="I119" s="30">
        <f t="shared" si="32"/>
        <v>1.8125537625774145E-8</v>
      </c>
      <c r="J119" s="30">
        <f t="shared" si="33"/>
        <v>0.13292451055840088</v>
      </c>
      <c r="K119" s="28">
        <f>'[1]Gurobi tests'!F118</f>
        <v>182785.59899998401</v>
      </c>
      <c r="L119" s="32">
        <f>'[1]Gurobi tests'!G118</f>
        <v>3644.61</v>
      </c>
      <c r="M119" s="33">
        <f>'[1]Gurobi tests'!H118/100</f>
        <v>0.213381315434446</v>
      </c>
      <c r="N119" s="30">
        <f>(C119-K119)/K119</f>
        <v>-1.9041811931717417E-2</v>
      </c>
      <c r="O119" s="30">
        <f t="shared" si="34"/>
        <v>-0.99523954552064553</v>
      </c>
      <c r="P119" s="14"/>
      <c r="Q119" s="20"/>
      <c r="R119" s="20"/>
      <c r="S119" s="2"/>
      <c r="T119" s="2"/>
      <c r="U119" s="2"/>
    </row>
    <row r="120" spans="1:21" x14ac:dyDescent="0.2">
      <c r="A120" s="19" t="s">
        <v>152</v>
      </c>
      <c r="B120" s="14" t="s">
        <v>289</v>
      </c>
      <c r="C120" s="28">
        <f>[1]ALNS!Z290</f>
        <v>222183.758</v>
      </c>
      <c r="D120" s="28">
        <f>[1]ALNS!AA290</f>
        <v>222057.89</v>
      </c>
      <c r="E120" s="29">
        <f>[1]ALNS!AD290</f>
        <v>1.2667415778967156E-3</v>
      </c>
      <c r="F120" s="28">
        <f>[1]ALNS!AE290</f>
        <v>44.772000000000006</v>
      </c>
      <c r="G120" s="28">
        <f>'[1]PFB tests'!F118</f>
        <v>222014.72849999901</v>
      </c>
      <c r="H120" s="28">
        <f>'[1]PFB tests'!G118</f>
        <v>41.031670625001397</v>
      </c>
      <c r="I120" s="30">
        <f t="shared" si="32"/>
        <v>7.6134363311393762E-4</v>
      </c>
      <c r="J120" s="30">
        <f t="shared" si="33"/>
        <v>9.1157131016731091E-2</v>
      </c>
      <c r="K120" s="28">
        <f>'[1]Gurobi tests'!F119</f>
        <v>238274.43513989699</v>
      </c>
      <c r="L120" s="32">
        <f>'[1]Gurobi tests'!G119</f>
        <v>3705.47</v>
      </c>
      <c r="M120" s="33">
        <f>'[1]Gurobi tests'!H119/100</f>
        <v>0.286439086169679</v>
      </c>
      <c r="N120" s="30">
        <f>(C120-K120)/K120</f>
        <v>-6.7530019032254723E-2</v>
      </c>
      <c r="O120" s="30">
        <f t="shared" si="34"/>
        <v>-0.99395866111451447</v>
      </c>
      <c r="P120" s="14"/>
      <c r="Q120" s="20"/>
      <c r="R120" s="20"/>
      <c r="S120" s="2"/>
      <c r="T120" s="2"/>
      <c r="U120" s="2"/>
    </row>
    <row r="121" spans="1:21" ht="17" x14ac:dyDescent="0.2">
      <c r="A121" s="19" t="s">
        <v>153</v>
      </c>
      <c r="B121" s="14" t="s">
        <v>289</v>
      </c>
      <c r="C121" s="28">
        <f>[1]ALNS!Z291</f>
        <v>246711.32</v>
      </c>
      <c r="D121" s="28">
        <f>[1]ALNS!AA291</f>
        <v>246711.32</v>
      </c>
      <c r="E121" s="29">
        <f>[1]ALNS!AD291</f>
        <v>0</v>
      </c>
      <c r="F121" s="28">
        <f>[1]ALNS!AE291</f>
        <v>58.677999999999997</v>
      </c>
      <c r="G121" s="28">
        <f>'[1]PFB tests'!F119</f>
        <v>247821.72675</v>
      </c>
      <c r="H121" s="28">
        <f>'[1]PFB tests'!G119</f>
        <v>79.954761583001499</v>
      </c>
      <c r="I121" s="30">
        <f t="shared" si="32"/>
        <v>-4.4806674723889784E-3</v>
      </c>
      <c r="J121" s="30">
        <f t="shared" si="33"/>
        <v>-0.26610999972670762</v>
      </c>
      <c r="K121" s="6" t="str">
        <f>'[1]Gurobi tests'!F120</f>
        <v>Infeasible</v>
      </c>
      <c r="L121" s="32">
        <f>'[1]Gurobi tests'!G120</f>
        <v>3736.72</v>
      </c>
      <c r="M121" s="33" t="s">
        <v>32</v>
      </c>
      <c r="N121" s="30" t="s">
        <v>32</v>
      </c>
      <c r="O121" s="30">
        <f>(F121/2-L121)/L121</f>
        <v>-0.992148461752553</v>
      </c>
      <c r="P121" s="14"/>
      <c r="Q121" s="20"/>
      <c r="R121" s="20"/>
      <c r="S121" s="2"/>
      <c r="T121" s="2"/>
      <c r="U121" s="2"/>
    </row>
    <row r="122" spans="1:21" ht="17" x14ac:dyDescent="0.2">
      <c r="A122" s="19" t="s">
        <v>154</v>
      </c>
      <c r="B122" s="14" t="s">
        <v>289</v>
      </c>
      <c r="C122" s="28">
        <f>[1]ALNS!Z292</f>
        <v>247265.63999999998</v>
      </c>
      <c r="D122" s="28">
        <f>[1]ALNS!AA292</f>
        <v>244476.28</v>
      </c>
      <c r="E122" s="29">
        <f>[1]ALNS!AD292</f>
        <v>7.590329706457402E-3</v>
      </c>
      <c r="F122" s="28">
        <f>[1]ALNS!AE292</f>
        <v>217.34200000000001</v>
      </c>
      <c r="G122" s="28">
        <f>'[1]PFB tests'!F120</f>
        <v>245617.25075000001</v>
      </c>
      <c r="H122" s="28">
        <f>'[1]PFB tests'!G120</f>
        <v>663.13654383299502</v>
      </c>
      <c r="I122" s="30">
        <f t="shared" si="32"/>
        <v>6.7112112238312651E-3</v>
      </c>
      <c r="J122" s="30">
        <f t="shared" si="33"/>
        <v>-0.67225151136485151</v>
      </c>
      <c r="K122" s="6" t="str">
        <f>'[1]Gurobi tests'!F121</f>
        <v>Infeasible</v>
      </c>
      <c r="L122" s="32">
        <f>'[1]Gurobi tests'!G121</f>
        <v>3812.51</v>
      </c>
      <c r="M122" s="33" t="s">
        <v>32</v>
      </c>
      <c r="N122" s="30" t="s">
        <v>32</v>
      </c>
      <c r="O122" s="30">
        <f>(F122/2-L122)/L122</f>
        <v>-0.97149620591159114</v>
      </c>
      <c r="P122" s="14"/>
      <c r="Q122" s="20"/>
      <c r="R122" s="20"/>
      <c r="S122" s="2"/>
      <c r="T122" s="2"/>
      <c r="U122" s="2"/>
    </row>
    <row r="123" spans="1:21" x14ac:dyDescent="0.2">
      <c r="A123" s="19" t="s">
        <v>155</v>
      </c>
      <c r="B123" s="14" t="s">
        <v>289</v>
      </c>
      <c r="C123" s="28">
        <f>[1]ALNS!Z293</f>
        <v>296347.17000000004</v>
      </c>
      <c r="D123" s="28">
        <f>[1]ALNS!AA293</f>
        <v>296097.5</v>
      </c>
      <c r="E123" s="29">
        <f>[1]ALNS!AD293</f>
        <v>1.8838684774427307E-3</v>
      </c>
      <c r="F123" s="28">
        <f>[1]ALNS!AE293</f>
        <v>295.35399999999993</v>
      </c>
      <c r="G123" s="28">
        <f>'[1]PFB tests'!F121</f>
        <v>297675.44349999999</v>
      </c>
      <c r="H123" s="28">
        <f>'[1]PFB tests'!G121</f>
        <v>943.44061354099495</v>
      </c>
      <c r="I123" s="30">
        <f t="shared" si="32"/>
        <v>-4.4621534258332332E-3</v>
      </c>
      <c r="J123" s="30">
        <f t="shared" si="33"/>
        <v>-0.68693948960766671</v>
      </c>
      <c r="K123" s="32"/>
      <c r="L123" s="32"/>
      <c r="M123" s="32"/>
      <c r="N123" s="32"/>
      <c r="O123" s="32"/>
      <c r="P123" s="14"/>
      <c r="Q123" s="20"/>
      <c r="R123" s="20"/>
      <c r="S123" s="2"/>
      <c r="T123" s="2"/>
      <c r="U123" s="2"/>
    </row>
    <row r="124" spans="1:21" x14ac:dyDescent="0.2">
      <c r="A124" s="19" t="s">
        <v>156</v>
      </c>
      <c r="B124" s="14" t="s">
        <v>289</v>
      </c>
      <c r="C124" s="28">
        <f>[1]ALNS!Z294</f>
        <v>322402.94799999997</v>
      </c>
      <c r="D124" s="28">
        <f>[1]ALNS!AA294</f>
        <v>318065.65999999997</v>
      </c>
      <c r="E124" s="29">
        <f>[1]ALNS!AD294</f>
        <v>9.183290229212486E-3</v>
      </c>
      <c r="F124" s="28">
        <f>[1]ALNS!AE294</f>
        <v>312.952</v>
      </c>
      <c r="G124" s="28">
        <f>'[1]PFB tests'!F122</f>
        <v>323194.47749990202</v>
      </c>
      <c r="H124" s="28">
        <f>'[1]PFB tests'!G122</f>
        <v>5031.75238849999</v>
      </c>
      <c r="I124" s="30"/>
      <c r="J124" s="30"/>
      <c r="K124" s="32"/>
      <c r="L124" s="32"/>
      <c r="M124" s="32"/>
      <c r="N124" s="32"/>
      <c r="O124" s="32"/>
      <c r="P124" s="14"/>
      <c r="Q124" s="20"/>
      <c r="R124" s="20"/>
      <c r="S124" s="2"/>
      <c r="T124" s="2"/>
      <c r="U124" s="2"/>
    </row>
    <row r="125" spans="1:21" x14ac:dyDescent="0.2">
      <c r="A125" s="19" t="s">
        <v>157</v>
      </c>
      <c r="B125" s="14" t="s">
        <v>289</v>
      </c>
      <c r="C125" s="28">
        <f>[1]ALNS!Z295</f>
        <v>349667.04400000005</v>
      </c>
      <c r="D125" s="28">
        <f>[1]ALNS!AA295</f>
        <v>348366.71</v>
      </c>
      <c r="E125" s="29">
        <f>[1]ALNS!AD295</f>
        <v>7.0491294331813201E-3</v>
      </c>
      <c r="F125" s="28">
        <f>[1]ALNS!AE295</f>
        <v>252.93399999999997</v>
      </c>
      <c r="G125" s="32"/>
      <c r="H125" s="32"/>
      <c r="I125" s="30"/>
      <c r="J125" s="30"/>
      <c r="K125" s="32"/>
      <c r="L125" s="32"/>
      <c r="M125" s="32"/>
      <c r="N125" s="32"/>
      <c r="O125" s="32"/>
      <c r="P125" s="14"/>
      <c r="Q125" s="20"/>
      <c r="R125" s="20"/>
      <c r="S125" s="2"/>
      <c r="T125" s="2"/>
      <c r="U125" s="2"/>
    </row>
    <row r="126" spans="1:21" x14ac:dyDescent="0.2">
      <c r="A126" s="19" t="s">
        <v>158</v>
      </c>
      <c r="B126" s="14" t="s">
        <v>289</v>
      </c>
      <c r="C126" s="28">
        <f>[1]ALNS!Z296</f>
        <v>377616.8459999999</v>
      </c>
      <c r="D126" s="28">
        <f>[1]ALNS!AA296</f>
        <v>377532.86</v>
      </c>
      <c r="E126" s="29">
        <f>[1]ALNS!AD296</f>
        <v>4.9732528394216369E-4</v>
      </c>
      <c r="F126" s="28">
        <f>[1]ALNS!AE296</f>
        <v>265.892</v>
      </c>
      <c r="G126" s="32"/>
      <c r="H126" s="32"/>
      <c r="I126" s="30"/>
      <c r="J126" s="30"/>
      <c r="K126" s="32"/>
      <c r="L126" s="32"/>
      <c r="M126" s="32"/>
      <c r="N126" s="32"/>
      <c r="O126" s="32"/>
      <c r="P126" s="14"/>
      <c r="Q126" s="20"/>
      <c r="R126" s="20"/>
      <c r="S126" s="2"/>
      <c r="T126" s="2"/>
      <c r="U126" s="2"/>
    </row>
    <row r="127" spans="1:21" x14ac:dyDescent="0.2">
      <c r="A127" s="19"/>
      <c r="B127" s="14"/>
      <c r="C127" s="28"/>
      <c r="D127" s="28"/>
      <c r="E127" s="29"/>
      <c r="F127" s="28"/>
      <c r="G127" s="32"/>
      <c r="H127" s="32"/>
      <c r="I127" s="30"/>
      <c r="J127" s="32"/>
      <c r="K127" s="32"/>
      <c r="L127" s="32"/>
      <c r="M127" s="32"/>
      <c r="N127" s="32"/>
      <c r="O127" s="32"/>
      <c r="P127" s="14"/>
      <c r="Q127" s="20"/>
      <c r="R127" s="20"/>
      <c r="S127" s="2"/>
      <c r="T127" s="2"/>
      <c r="U127" s="2"/>
    </row>
    <row r="128" spans="1:21" ht="17" x14ac:dyDescent="0.2">
      <c r="A128" s="19" t="s">
        <v>159</v>
      </c>
      <c r="B128" s="14" t="s">
        <v>289</v>
      </c>
      <c r="C128" s="28">
        <f>[1]ALNS!Z298</f>
        <v>141415.00599999999</v>
      </c>
      <c r="D128" s="28">
        <f>[1]ALNS!AA298</f>
        <v>140941.12</v>
      </c>
      <c r="E128" s="29">
        <f>[1]ALNS!AD298</f>
        <v>7.4931320201299025E-3</v>
      </c>
      <c r="F128" s="28">
        <f>[1]ALNS!AE298</f>
        <v>17.916</v>
      </c>
      <c r="G128" s="14" t="str">
        <f>'[1]PFB tests'!F126</f>
        <v>Infeasible</v>
      </c>
      <c r="H128" s="28">
        <f>'[1]PFB tests'!G126</f>
        <v>13.734460916995801</v>
      </c>
      <c r="I128" s="30" t="s">
        <v>32</v>
      </c>
      <c r="J128" s="30">
        <f>(F128-H128)/H128</f>
        <v>0.3044560036447973</v>
      </c>
      <c r="K128" s="28">
        <f>'[1]Gurobi tests'!F127</f>
        <v>140941.116121864</v>
      </c>
      <c r="L128" s="32">
        <f>'[1]Gurobi tests'!G127</f>
        <v>1363.22</v>
      </c>
      <c r="M128" s="33">
        <f>'[1]Gurobi tests'!H127/100</f>
        <v>0</v>
      </c>
      <c r="N128" s="30">
        <f>(C128-K128)/K128</f>
        <v>3.3623252828950427E-3</v>
      </c>
      <c r="O128" s="30">
        <f>(F128/2-L128)/L128</f>
        <v>-0.99342879359164327</v>
      </c>
      <c r="P128" s="14"/>
      <c r="Q128" s="20"/>
      <c r="R128" s="20"/>
      <c r="S128" s="2"/>
      <c r="T128" s="2"/>
      <c r="U128" s="2"/>
    </row>
    <row r="129" spans="1:21" x14ac:dyDescent="0.2">
      <c r="A129" s="19" t="s">
        <v>160</v>
      </c>
      <c r="B129" s="14" t="s">
        <v>289</v>
      </c>
      <c r="C129" s="28">
        <f>[1]ALNS!Z299</f>
        <v>125962.47</v>
      </c>
      <c r="D129" s="28">
        <f>[1]ALNS!AA299</f>
        <v>125962.47</v>
      </c>
      <c r="E129" s="29">
        <f>[1]ALNS!AD299</f>
        <v>0</v>
      </c>
      <c r="F129" s="28">
        <f>[1]ALNS!AE299</f>
        <v>22.84</v>
      </c>
      <c r="G129" s="6">
        <f>'[1]PFB tests'!F127</f>
        <v>125962.47014999999</v>
      </c>
      <c r="H129" s="28">
        <f>'[1]PFB tests'!G127</f>
        <v>25.631008457996298</v>
      </c>
      <c r="I129" s="30">
        <f>(C129-G129)/G129</f>
        <v>-1.190830827579658E-9</v>
      </c>
      <c r="J129" s="30">
        <f t="shared" ref="J129:J134" si="35">(F129-H129)/H129</f>
        <v>-0.10889187066401075</v>
      </c>
      <c r="K129" s="28">
        <f>'[1]Gurobi tests'!F128</f>
        <v>125962.46895890401</v>
      </c>
      <c r="L129" s="28">
        <f>'[1]Gurobi tests'!G128</f>
        <v>138.80000000000001</v>
      </c>
      <c r="M129" s="33">
        <f>'[1]Gurobi tests'!H128/100</f>
        <v>0</v>
      </c>
      <c r="N129" s="30">
        <f>(C129-K129)/K129</f>
        <v>8.2651285218791947E-9</v>
      </c>
      <c r="O129" s="30">
        <f t="shared" ref="O129:O130" si="36">(F129/2-L129)/L129</f>
        <v>-0.91772334293948121</v>
      </c>
      <c r="P129" s="14"/>
      <c r="Q129" s="20"/>
      <c r="R129" s="20"/>
      <c r="S129" s="2"/>
      <c r="T129" s="2"/>
      <c r="U129" s="2"/>
    </row>
    <row r="130" spans="1:21" ht="17" x14ac:dyDescent="0.2">
      <c r="A130" s="19" t="s">
        <v>161</v>
      </c>
      <c r="B130" s="14" t="s">
        <v>289</v>
      </c>
      <c r="C130" s="28">
        <f>[1]ALNS!Z300</f>
        <v>255647.47</v>
      </c>
      <c r="D130" s="28">
        <f>[1]ALNS!AA300</f>
        <v>255647.47</v>
      </c>
      <c r="E130" s="29" t="s">
        <v>32</v>
      </c>
      <c r="F130" s="28">
        <f>[1]ALNS!AE300</f>
        <v>45.088000000000001</v>
      </c>
      <c r="G130" s="14" t="str">
        <f>'[1]PFB tests'!F128</f>
        <v>Infeasible</v>
      </c>
      <c r="H130" s="28">
        <f>'[1]PFB tests'!G128</f>
        <v>32.258315125000003</v>
      </c>
      <c r="I130" s="30" t="s">
        <v>32</v>
      </c>
      <c r="J130" s="30">
        <f t="shared" si="35"/>
        <v>0.39771714131024372</v>
      </c>
      <c r="K130" s="28" t="str">
        <f>'[1]Gurobi tests'!F129</f>
        <v>Infeasible</v>
      </c>
      <c r="L130" s="28">
        <f>'[1]Gurobi tests'!G129</f>
        <v>3652</v>
      </c>
      <c r="M130" s="33" t="s">
        <v>32</v>
      </c>
      <c r="N130" s="30" t="s">
        <v>32</v>
      </c>
      <c r="O130" s="30">
        <f t="shared" si="36"/>
        <v>-0.99382694414019723</v>
      </c>
      <c r="P130" s="14"/>
      <c r="Q130" s="20"/>
      <c r="R130" s="20"/>
      <c r="S130" s="2"/>
      <c r="T130" s="2"/>
      <c r="U130" s="2"/>
    </row>
    <row r="131" spans="1:21" ht="17" x14ac:dyDescent="0.2">
      <c r="A131" s="19" t="s">
        <v>162</v>
      </c>
      <c r="B131" s="14" t="s">
        <v>289</v>
      </c>
      <c r="C131" s="28">
        <f>[1]ALNS!Z301</f>
        <v>256765.4</v>
      </c>
      <c r="D131" s="28">
        <f>[1]ALNS!AA301</f>
        <v>256765.4</v>
      </c>
      <c r="E131" s="29">
        <f>[1]ALNS!AD301</f>
        <v>0</v>
      </c>
      <c r="F131" s="28">
        <f>[1]ALNS!AE301</f>
        <v>75.906000000000006</v>
      </c>
      <c r="G131" s="14" t="str">
        <f>'[1]PFB tests'!F129</f>
        <v>Infeasible</v>
      </c>
      <c r="H131" s="28">
        <f>'[1]PFB tests'!G129</f>
        <v>35.9048181670004</v>
      </c>
      <c r="I131" s="30" t="s">
        <v>32</v>
      </c>
      <c r="J131" s="30">
        <f t="shared" si="35"/>
        <v>1.1140895254488188</v>
      </c>
      <c r="K131" s="28" t="str">
        <f>'[1]Gurobi tests'!F130</f>
        <v>Infeasible</v>
      </c>
      <c r="L131" s="32">
        <f>'[1]Gurobi tests'!G130</f>
        <v>3703.83</v>
      </c>
      <c r="M131" s="33" t="s">
        <v>32</v>
      </c>
      <c r="N131" s="30" t="s">
        <v>32</v>
      </c>
      <c r="O131" s="30">
        <f>(F131/2-L131)/L131</f>
        <v>-0.98975303942135573</v>
      </c>
      <c r="P131" s="14"/>
      <c r="Q131" s="20"/>
      <c r="R131" s="20"/>
      <c r="S131" s="2"/>
      <c r="T131" s="2"/>
      <c r="U131" s="2"/>
    </row>
    <row r="132" spans="1:21" ht="17" x14ac:dyDescent="0.2">
      <c r="A132" s="19" t="s">
        <v>163</v>
      </c>
      <c r="B132" s="14" t="s">
        <v>289</v>
      </c>
      <c r="C132" s="28">
        <f>[1]ALNS!Z302</f>
        <v>359320.12</v>
      </c>
      <c r="D132" s="28">
        <f>[1]ALNS!AA302</f>
        <v>359320.12</v>
      </c>
      <c r="E132" s="29">
        <f>[1]ALNS!AD302</f>
        <v>0</v>
      </c>
      <c r="F132" s="28">
        <f>[1]ALNS!AE302</f>
        <v>65.807999999999993</v>
      </c>
      <c r="G132" s="14" t="str">
        <f>'[1]PFB tests'!F130</f>
        <v>Infeasible</v>
      </c>
      <c r="H132" s="28">
        <f>'[1]PFB tests'!G130</f>
        <v>66.954543708001395</v>
      </c>
      <c r="I132" s="30" t="s">
        <v>32</v>
      </c>
      <c r="J132" s="30">
        <f t="shared" si="35"/>
        <v>-1.7124210613720978E-2</v>
      </c>
      <c r="K132" s="28" t="str">
        <f>'[1]Gurobi tests'!F131</f>
        <v>Infeasible</v>
      </c>
      <c r="L132" s="32">
        <f>'[1]Gurobi tests'!G131</f>
        <v>3762.15</v>
      </c>
      <c r="M132" s="33" t="s">
        <v>32</v>
      </c>
      <c r="N132" s="30" t="s">
        <v>32</v>
      </c>
      <c r="O132" s="30">
        <f>(F132/2-L132)/L132</f>
        <v>-0.99125393724333166</v>
      </c>
      <c r="P132" s="14"/>
      <c r="Q132" s="20"/>
      <c r="R132" s="20"/>
      <c r="S132" s="2"/>
      <c r="T132" s="2"/>
      <c r="U132" s="2"/>
    </row>
    <row r="133" spans="1:21" ht="17" x14ac:dyDescent="0.2">
      <c r="A133" s="19" t="s">
        <v>164</v>
      </c>
      <c r="B133" s="14" t="s">
        <v>289</v>
      </c>
      <c r="C133" s="28">
        <f>[1]ALNS!Z303</f>
        <v>333933.14600000001</v>
      </c>
      <c r="D133" s="28">
        <f>[1]ALNS!AA303</f>
        <v>333807.17</v>
      </c>
      <c r="E133" s="29">
        <f>[1]ALNS!AD303</f>
        <v>5.1656969164923293E-4</v>
      </c>
      <c r="F133" s="28">
        <f>[1]ALNS!AE303</f>
        <v>421.23400000000004</v>
      </c>
      <c r="G133" s="6">
        <f>'[1]PFB tests'!F131</f>
        <v>350592.69605000003</v>
      </c>
      <c r="H133" s="28">
        <f>'[1]PFB tests'!G131</f>
        <v>638.86115137499996</v>
      </c>
      <c r="I133" s="30">
        <f>(C133-G133)/G133</f>
        <v>-4.7518246209054239E-2</v>
      </c>
      <c r="J133" s="30">
        <f t="shared" si="35"/>
        <v>-0.34064859149223292</v>
      </c>
      <c r="K133" s="28" t="str">
        <f>'[1]Gurobi tests'!F132</f>
        <v>Infeasible</v>
      </c>
      <c r="L133" s="32">
        <f>'[1]Gurobi tests'!G132</f>
        <v>3851.48</v>
      </c>
      <c r="M133" s="33" t="s">
        <v>32</v>
      </c>
      <c r="N133" s="30" t="s">
        <v>32</v>
      </c>
      <c r="O133" s="30">
        <f>(F133/2-L133)/L133</f>
        <v>-0.94531530736236458</v>
      </c>
      <c r="P133" s="14"/>
      <c r="Q133" s="20"/>
      <c r="R133" s="20"/>
      <c r="S133" s="2"/>
      <c r="T133" s="2"/>
      <c r="U133" s="2"/>
    </row>
    <row r="134" spans="1:21" ht="17" x14ac:dyDescent="0.2">
      <c r="A134" s="19" t="s">
        <v>165</v>
      </c>
      <c r="B134" s="14" t="s">
        <v>289</v>
      </c>
      <c r="C134" s="28">
        <f>[1]ALNS!Z304</f>
        <v>426348.65399999998</v>
      </c>
      <c r="D134" s="28">
        <f>[1]ALNS!AA304</f>
        <v>423226.34</v>
      </c>
      <c r="E134" s="29">
        <f>[1]ALNS!AD304</f>
        <v>6.4860868028521887E-3</v>
      </c>
      <c r="F134" s="28">
        <f>[1]ALNS!AE304</f>
        <v>460.70200000000006</v>
      </c>
      <c r="G134" s="6">
        <f>'[1]PFB tests'!F132</f>
        <v>449337.879049999</v>
      </c>
      <c r="H134" s="28">
        <f>'[1]PFB tests'!G132</f>
        <v>897.35899920899794</v>
      </c>
      <c r="I134" s="30">
        <f>(C134-G134)/G134</f>
        <v>-5.1162446172139754E-2</v>
      </c>
      <c r="J134" s="30">
        <f t="shared" si="35"/>
        <v>-0.48660235156041376</v>
      </c>
      <c r="K134" s="58" t="s">
        <v>15</v>
      </c>
      <c r="L134" s="58" t="s">
        <v>32</v>
      </c>
      <c r="M134" s="59" t="s">
        <v>32</v>
      </c>
      <c r="N134" s="59" t="s">
        <v>32</v>
      </c>
      <c r="O134" s="32" t="s">
        <v>32</v>
      </c>
      <c r="P134" s="14"/>
      <c r="Q134" s="20"/>
      <c r="R134" s="20"/>
      <c r="S134" s="2"/>
      <c r="T134" s="2"/>
      <c r="U134" s="2"/>
    </row>
    <row r="135" spans="1:21" ht="17" x14ac:dyDescent="0.2">
      <c r="A135" s="19" t="s">
        <v>166</v>
      </c>
      <c r="B135" s="14" t="s">
        <v>289</v>
      </c>
      <c r="C135" s="28">
        <f>[1]ALNS!Z305</f>
        <v>434340.54599999997</v>
      </c>
      <c r="D135" s="28">
        <f>[1]ALNS!AA305</f>
        <v>432475.62</v>
      </c>
      <c r="E135" s="29">
        <f>[1]ALNS!AD305</f>
        <v>4.564720754862946E-3</v>
      </c>
      <c r="F135" s="28">
        <f>[1]ALNS!AE305</f>
        <v>784.53600000000006</v>
      </c>
      <c r="G135" s="6" t="str">
        <f>'[1]PFB tests'!F133</f>
        <v>Infeasible</v>
      </c>
      <c r="H135" s="28">
        <f>'[1]PFB tests'!G133</f>
        <v>4576.4130314169997</v>
      </c>
      <c r="I135" s="30" t="s">
        <v>32</v>
      </c>
      <c r="J135" s="30" t="s">
        <v>32</v>
      </c>
      <c r="K135" s="58" t="s">
        <v>15</v>
      </c>
      <c r="L135" s="58" t="s">
        <v>32</v>
      </c>
      <c r="M135" s="59" t="s">
        <v>32</v>
      </c>
      <c r="N135" s="59" t="s">
        <v>32</v>
      </c>
      <c r="O135" s="32" t="s">
        <v>32</v>
      </c>
      <c r="P135" s="14"/>
      <c r="Q135" s="20"/>
      <c r="R135" s="20"/>
      <c r="S135" s="2"/>
      <c r="T135" s="2"/>
      <c r="U135" s="2"/>
    </row>
    <row r="136" spans="1:21" ht="17" x14ac:dyDescent="0.2">
      <c r="A136" s="19" t="s">
        <v>167</v>
      </c>
      <c r="B136" s="14" t="s">
        <v>289</v>
      </c>
      <c r="C136" s="28">
        <f>[1]ALNS!Z306</f>
        <v>471430.16200000001</v>
      </c>
      <c r="D136" s="28">
        <f>[1]ALNS!AA306</f>
        <v>470999.79</v>
      </c>
      <c r="E136" s="29">
        <f>[1]ALNS!AD306</f>
        <v>7.1907937207789992E-4</v>
      </c>
      <c r="F136" s="28">
        <f>[1]ALNS!AE306</f>
        <v>1094.5900000000001</v>
      </c>
      <c r="G136" s="58" t="s">
        <v>15</v>
      </c>
      <c r="H136" s="58" t="s">
        <v>32</v>
      </c>
      <c r="I136" s="59" t="s">
        <v>32</v>
      </c>
      <c r="J136" s="59" t="s">
        <v>32</v>
      </c>
      <c r="K136" s="58" t="s">
        <v>15</v>
      </c>
      <c r="L136" s="58" t="s">
        <v>32</v>
      </c>
      <c r="M136" s="59" t="s">
        <v>32</v>
      </c>
      <c r="N136" s="59" t="s">
        <v>32</v>
      </c>
      <c r="O136" s="32" t="s">
        <v>32</v>
      </c>
      <c r="P136" s="14"/>
      <c r="Q136" s="20"/>
      <c r="R136" s="20"/>
      <c r="S136" s="2"/>
      <c r="T136" s="2"/>
      <c r="U136" s="2"/>
    </row>
    <row r="137" spans="1:21" ht="17" x14ac:dyDescent="0.2">
      <c r="A137" s="19" t="s">
        <v>168</v>
      </c>
      <c r="B137" s="14" t="s">
        <v>289</v>
      </c>
      <c r="C137" s="28">
        <f>[1]ALNS!Z307</f>
        <v>492311.88399999996</v>
      </c>
      <c r="D137" s="28">
        <f>[1]ALNS!AA307</f>
        <v>491436.38</v>
      </c>
      <c r="E137" s="29">
        <f>[1]ALNS!AD307</f>
        <v>1.5948258263189707E-3</v>
      </c>
      <c r="F137" s="28">
        <f>[1]ALNS!AE307</f>
        <v>1408.8</v>
      </c>
      <c r="G137" s="58" t="s">
        <v>15</v>
      </c>
      <c r="H137" s="58" t="s">
        <v>32</v>
      </c>
      <c r="I137" s="59" t="s">
        <v>32</v>
      </c>
      <c r="J137" s="59" t="s">
        <v>32</v>
      </c>
      <c r="K137" s="58" t="s">
        <v>15</v>
      </c>
      <c r="L137" s="58" t="s">
        <v>32</v>
      </c>
      <c r="M137" s="59" t="s">
        <v>32</v>
      </c>
      <c r="N137" s="59" t="s">
        <v>32</v>
      </c>
      <c r="O137" s="32" t="s">
        <v>32</v>
      </c>
      <c r="P137" s="14"/>
      <c r="Q137" s="20"/>
      <c r="R137" s="20"/>
      <c r="S137" s="2"/>
      <c r="T137" s="2"/>
      <c r="U137" s="2"/>
    </row>
    <row r="138" spans="1:21" x14ac:dyDescent="0.2">
      <c r="A138" s="14"/>
      <c r="B138" s="14"/>
      <c r="C138" s="32"/>
      <c r="D138" s="32"/>
      <c r="E138" s="32"/>
      <c r="F138" s="32"/>
      <c r="G138" s="32"/>
      <c r="H138" s="32"/>
      <c r="I138" s="30"/>
      <c r="J138" s="30"/>
      <c r="K138" s="32"/>
      <c r="L138" s="32"/>
      <c r="M138" s="31"/>
      <c r="N138" s="30"/>
      <c r="O138" s="30"/>
      <c r="P138" s="14"/>
      <c r="Q138" s="20"/>
      <c r="R138" s="20"/>
      <c r="S138" s="2"/>
      <c r="T138" s="2"/>
      <c r="U138" s="2"/>
    </row>
    <row r="139" spans="1:21" x14ac:dyDescent="0.2">
      <c r="A139" s="19" t="s">
        <v>169</v>
      </c>
      <c r="B139" s="14" t="s">
        <v>289</v>
      </c>
      <c r="C139" s="28">
        <f>[1]ALNS!Z309</f>
        <v>75693.72</v>
      </c>
      <c r="D139" s="28">
        <f>[1]ALNS!AA309</f>
        <v>75693.72</v>
      </c>
      <c r="E139" s="29">
        <f>[1]ALNS!AD309</f>
        <v>0</v>
      </c>
      <c r="F139" s="28">
        <f>[1]ALNS!AE309</f>
        <v>14.946000000000002</v>
      </c>
      <c r="G139" s="28">
        <f>'[1]PFB tests'!F137</f>
        <v>75693.720054999998</v>
      </c>
      <c r="H139" s="28">
        <f>'[1]PFB tests'!G137</f>
        <v>16.387580499998801</v>
      </c>
      <c r="I139" s="30">
        <f t="shared" ref="I139:I146" si="37">(C139-G139)/G139</f>
        <v>-7.26612415820362E-10</v>
      </c>
      <c r="J139" s="30">
        <f>(F139-H139)/H139</f>
        <v>-8.7967866885468857E-2</v>
      </c>
      <c r="K139" s="28">
        <f>'[1]Gurobi tests'!F138</f>
        <v>75693.7198250324</v>
      </c>
      <c r="L139" s="32">
        <f>'[1]Gurobi tests'!G138</f>
        <v>130.54</v>
      </c>
      <c r="M139" s="33">
        <f>'[1]Gurobi tests'!H138/100</f>
        <v>0</v>
      </c>
      <c r="N139" s="30">
        <f t="shared" ref="N139:N147" si="38">(C139-K139)/K139</f>
        <v>2.3115207126995692E-9</v>
      </c>
      <c r="O139" s="30">
        <f>(F139/2-L139)/L139</f>
        <v>-0.94275317910219092</v>
      </c>
      <c r="P139" s="14"/>
      <c r="Q139" s="20"/>
      <c r="R139" s="20"/>
      <c r="S139" s="2"/>
      <c r="T139" s="2"/>
      <c r="U139" s="2"/>
    </row>
    <row r="140" spans="1:21" x14ac:dyDescent="0.2">
      <c r="A140" s="19" t="s">
        <v>170</v>
      </c>
      <c r="B140" s="14" t="s">
        <v>289</v>
      </c>
      <c r="C140" s="28">
        <f>[1]ALNS!Z310</f>
        <v>116220.38</v>
      </c>
      <c r="D140" s="28">
        <f>[1]ALNS!AA310</f>
        <v>116220.38</v>
      </c>
      <c r="E140" s="29">
        <f>[1]ALNS!AD310</f>
        <v>0</v>
      </c>
      <c r="F140" s="28">
        <f>[1]ALNS!AE310</f>
        <v>21.266000000000002</v>
      </c>
      <c r="G140" s="28">
        <f>'[1]PFB tests'!F138</f>
        <v>117945.01216499999</v>
      </c>
      <c r="H140" s="28">
        <f>'[1]PFB tests'!G138</f>
        <v>20.662097291999</v>
      </c>
      <c r="I140" s="30">
        <f t="shared" si="37"/>
        <v>-1.4622340812405887E-2</v>
      </c>
      <c r="J140" s="30">
        <f t="shared" ref="J140:J146" si="39">(F140-H140)/H140</f>
        <v>2.9227560952142611E-2</v>
      </c>
      <c r="K140" s="28">
        <f>'[1]Gurobi tests'!F139</f>
        <v>116220.38017038599</v>
      </c>
      <c r="L140" s="32">
        <f>'[1]Gurobi tests'!G139</f>
        <v>766.38</v>
      </c>
      <c r="M140" s="33">
        <f>'[1]Gurobi tests'!H139/100</f>
        <v>0</v>
      </c>
      <c r="N140" s="30">
        <f t="shared" si="38"/>
        <v>-1.4660594694756119E-9</v>
      </c>
      <c r="O140" s="30">
        <f t="shared" ref="O140:O147" si="40">(F140/2-L140)/L140</f>
        <v>-0.98612568177666426</v>
      </c>
      <c r="P140" s="14"/>
      <c r="Q140" s="20"/>
      <c r="R140" s="20"/>
      <c r="S140" s="2"/>
      <c r="T140" s="2"/>
      <c r="U140" s="2"/>
    </row>
    <row r="141" spans="1:21" x14ac:dyDescent="0.2">
      <c r="A141" s="19" t="s">
        <v>171</v>
      </c>
      <c r="B141" s="14" t="s">
        <v>289</v>
      </c>
      <c r="C141" s="28">
        <f>[1]ALNS!Z311</f>
        <v>148248.37</v>
      </c>
      <c r="D141" s="28">
        <f>[1]ALNS!AA311</f>
        <v>148248.37</v>
      </c>
      <c r="E141" s="29">
        <f>[1]ALNS!AD311</f>
        <v>0</v>
      </c>
      <c r="F141" s="28">
        <f>[1]ALNS!AE311</f>
        <v>34.018000000000001</v>
      </c>
      <c r="G141" s="28">
        <f>'[1]PFB tests'!F139</f>
        <v>148248.37211</v>
      </c>
      <c r="H141" s="28">
        <f>'[1]PFB tests'!G139</f>
        <v>27.594714334001701</v>
      </c>
      <c r="I141" s="30">
        <f t="shared" si="37"/>
        <v>-1.4232871303982906E-8</v>
      </c>
      <c r="J141" s="30">
        <f t="shared" si="39"/>
        <v>0.23277231966426429</v>
      </c>
      <c r="K141" s="28">
        <f>'[1]Gurobi tests'!F140</f>
        <v>148230.119749998</v>
      </c>
      <c r="L141" s="32">
        <f>'[1]Gurobi tests'!G140</f>
        <v>3654.34</v>
      </c>
      <c r="M141" s="33">
        <f>'[1]Gurobi tests'!H140/100</f>
        <v>9.4918803935443594E-2</v>
      </c>
      <c r="N141" s="30">
        <f t="shared" si="38"/>
        <v>1.2312106360550369E-4</v>
      </c>
      <c r="O141" s="30">
        <f t="shared" si="40"/>
        <v>-0.99534553435093609</v>
      </c>
      <c r="P141" s="14"/>
      <c r="Q141" s="20"/>
      <c r="R141" s="20"/>
      <c r="S141" s="2"/>
      <c r="T141" s="2"/>
      <c r="U141" s="2"/>
    </row>
    <row r="142" spans="1:21" x14ac:dyDescent="0.2">
      <c r="A142" s="19" t="s">
        <v>172</v>
      </c>
      <c r="B142" s="14" t="s">
        <v>289</v>
      </c>
      <c r="C142" s="28">
        <f>[1]ALNS!Z312</f>
        <v>164866.01</v>
      </c>
      <c r="D142" s="28">
        <f>[1]ALNS!AA312</f>
        <v>164866.01</v>
      </c>
      <c r="E142" s="29">
        <f>[1]ALNS!AD312</f>
        <v>0</v>
      </c>
      <c r="F142" s="28">
        <f>[1]ALNS!AE312</f>
        <v>36.463999999999999</v>
      </c>
      <c r="G142" s="28">
        <f>'[1]PFB tests'!F140</f>
        <v>165950.79605499899</v>
      </c>
      <c r="H142" s="28">
        <f>'[1]PFB tests'!G140</f>
        <v>32.369077292001698</v>
      </c>
      <c r="I142" s="30">
        <f t="shared" si="37"/>
        <v>-6.5367933193852742E-3</v>
      </c>
      <c r="J142" s="30">
        <f t="shared" si="39"/>
        <v>0.12650724242331565</v>
      </c>
      <c r="K142" s="28">
        <f>'[1]Gurobi tests'!F141</f>
        <v>165141.75393238201</v>
      </c>
      <c r="L142" s="32">
        <f>'[1]Gurobi tests'!G141</f>
        <v>3710.51</v>
      </c>
      <c r="M142" s="33">
        <f>'[1]Gurobi tests'!H141/100</f>
        <v>0.15199644750448699</v>
      </c>
      <c r="N142" s="30">
        <f t="shared" si="38"/>
        <v>-1.6697408487916655E-3</v>
      </c>
      <c r="O142" s="30">
        <f t="shared" si="40"/>
        <v>-0.99508638974157193</v>
      </c>
      <c r="P142" s="14"/>
      <c r="Q142" s="20"/>
      <c r="R142" s="20"/>
      <c r="S142" s="2"/>
      <c r="T142" s="2"/>
      <c r="U142" s="2"/>
    </row>
    <row r="143" spans="1:21" x14ac:dyDescent="0.2">
      <c r="A143" s="19" t="s">
        <v>173</v>
      </c>
      <c r="B143" s="14" t="s">
        <v>289</v>
      </c>
      <c r="C143" s="28">
        <f>[1]ALNS!Z313</f>
        <v>193735.14</v>
      </c>
      <c r="D143" s="28">
        <f>[1]ALNS!AA313</f>
        <v>193735.14</v>
      </c>
      <c r="E143" s="29">
        <f>[1]ALNS!AD313</f>
        <v>0</v>
      </c>
      <c r="F143" s="28">
        <f>[1]ALNS!AE313</f>
        <v>50.274000000000001</v>
      </c>
      <c r="G143" s="28">
        <f>'[1]PFB tests'!F141</f>
        <v>193623.31205499999</v>
      </c>
      <c r="H143" s="28">
        <f>'[1]PFB tests'!G141</f>
        <v>42.928483791001703</v>
      </c>
      <c r="I143" s="30">
        <f>(C143-G143)/G143</f>
        <v>5.7755413753205972E-4</v>
      </c>
      <c r="J143" s="30">
        <f t="shared" si="39"/>
        <v>0.1711105438701285</v>
      </c>
      <c r="K143" s="28">
        <f>'[1]Gurobi tests'!F142</f>
        <v>197614.30788381299</v>
      </c>
      <c r="L143" s="32">
        <f>'[1]Gurobi tests'!G142</f>
        <v>3745.39</v>
      </c>
      <c r="M143" s="33">
        <f>'[1]Gurobi tests'!H142/100</f>
        <v>0.16974216187100802</v>
      </c>
      <c r="N143" s="30">
        <f t="shared" si="38"/>
        <v>-1.9629995041116781E-2</v>
      </c>
      <c r="O143" s="30">
        <f t="shared" si="40"/>
        <v>-0.99328854939005007</v>
      </c>
      <c r="P143" s="14"/>
      <c r="Q143" s="20"/>
      <c r="R143" s="20"/>
      <c r="S143" s="2"/>
      <c r="T143" s="2"/>
      <c r="U143" s="2"/>
    </row>
    <row r="144" spans="1:21" x14ac:dyDescent="0.2">
      <c r="A144" s="19" t="s">
        <v>174</v>
      </c>
      <c r="B144" s="14" t="s">
        <v>289</v>
      </c>
      <c r="C144" s="28">
        <f>[1]ALNS!Z314</f>
        <v>220762.37000000002</v>
      </c>
      <c r="D144" s="28">
        <f>[1]ALNS!AA314</f>
        <v>220762.37</v>
      </c>
      <c r="E144" s="29">
        <f>[1]ALNS!AD314</f>
        <v>1.4739410368462095E-16</v>
      </c>
      <c r="F144" s="28">
        <f>[1]ALNS!AE314</f>
        <v>62.322000000000003</v>
      </c>
      <c r="G144" s="28">
        <f>'[1]PFB tests'!F142</f>
        <v>221238.612165</v>
      </c>
      <c r="H144" s="28">
        <f>'[1]PFB tests'!G142</f>
        <v>68.444074165999993</v>
      </c>
      <c r="I144" s="30">
        <f t="shared" si="37"/>
        <v>-2.1526177566364062E-3</v>
      </c>
      <c r="J144" s="30">
        <f t="shared" si="39"/>
        <v>-8.9446372685996062E-2</v>
      </c>
      <c r="K144" s="28">
        <f>'[1]Gurobi tests'!F143</f>
        <v>230962.535999999</v>
      </c>
      <c r="L144" s="32">
        <f>'[1]Gurobi tests'!G143</f>
        <v>3849.01</v>
      </c>
      <c r="M144" s="33">
        <f>'[1]Gurobi tests'!H143/100</f>
        <v>0.194713559197426</v>
      </c>
      <c r="N144" s="30">
        <f t="shared" si="38"/>
        <v>-4.4163725323829242E-2</v>
      </c>
      <c r="O144" s="30">
        <f t="shared" si="40"/>
        <v>-0.99190415197674209</v>
      </c>
      <c r="P144" s="14"/>
      <c r="Q144" s="20"/>
      <c r="R144" s="20"/>
      <c r="S144" s="2"/>
      <c r="T144" s="2"/>
      <c r="U144" s="2"/>
    </row>
    <row r="145" spans="1:21" x14ac:dyDescent="0.2">
      <c r="A145" s="19" t="s">
        <v>175</v>
      </c>
      <c r="B145" s="14" t="s">
        <v>289</v>
      </c>
      <c r="C145" s="28">
        <f>[1]ALNS!Z315</f>
        <v>230244.53999999998</v>
      </c>
      <c r="D145" s="28">
        <f>[1]ALNS!AA315</f>
        <v>230244.54</v>
      </c>
      <c r="E145" s="29">
        <f>[1]ALNS!AD315</f>
        <v>1.4132396648121454E-16</v>
      </c>
      <c r="F145" s="28">
        <f>[1]ALNS!AE315</f>
        <v>81.387999999999991</v>
      </c>
      <c r="G145" s="28">
        <f>'[1]PFB tests'!F143</f>
        <v>230253.42022</v>
      </c>
      <c r="H145" s="28">
        <f>'[1]PFB tests'!G143</f>
        <v>295.57088287499897</v>
      </c>
      <c r="I145" s="30">
        <f t="shared" si="37"/>
        <v>-3.8567157836509669E-5</v>
      </c>
      <c r="J145" s="30">
        <f t="shared" si="39"/>
        <v>-0.72464134759031695</v>
      </c>
      <c r="K145" s="28">
        <f>'[1]Gurobi tests'!F144</f>
        <v>233584.11068248301</v>
      </c>
      <c r="L145" s="32">
        <f>'[1]Gurobi tests'!G144</f>
        <v>3915.37</v>
      </c>
      <c r="M145" s="33">
        <f>'[1]Gurobi tests'!H144/100</f>
        <v>0.14348450774317001</v>
      </c>
      <c r="N145" s="30">
        <f t="shared" si="38"/>
        <v>-1.4297079851559735E-2</v>
      </c>
      <c r="O145" s="30">
        <f t="shared" si="40"/>
        <v>-0.98960660167493752</v>
      </c>
      <c r="P145" s="14"/>
      <c r="Q145" s="20"/>
      <c r="R145" s="20"/>
      <c r="S145" s="2"/>
      <c r="T145" s="2"/>
      <c r="U145" s="2"/>
    </row>
    <row r="146" spans="1:21" x14ac:dyDescent="0.2">
      <c r="A146" s="19" t="s">
        <v>176</v>
      </c>
      <c r="B146" s="14" t="s">
        <v>289</v>
      </c>
      <c r="C146" s="28">
        <f>[1]ALNS!Z316</f>
        <v>252640.10999999996</v>
      </c>
      <c r="D146" s="28">
        <f>[1]ALNS!AA316</f>
        <v>252640.11</v>
      </c>
      <c r="E146" s="29">
        <f>[1]ALNS!AD316</f>
        <v>1.2879614267680086E-16</v>
      </c>
      <c r="F146" s="28">
        <f>[1]ALNS!AE316</f>
        <v>90.847999999999999</v>
      </c>
      <c r="G146" s="28">
        <f>'[1]PFB tests'!F144</f>
        <v>253277.46033</v>
      </c>
      <c r="H146" s="28">
        <f>'[1]PFB tests'!G144</f>
        <v>3401.0392950829901</v>
      </c>
      <c r="I146" s="30">
        <f t="shared" si="37"/>
        <v>-2.5164115637042041E-3</v>
      </c>
      <c r="J146" s="30">
        <f t="shared" si="39"/>
        <v>-0.97328816514077265</v>
      </c>
      <c r="K146" s="28">
        <f>'[1]Gurobi tests'!F145</f>
        <v>260325.095999999</v>
      </c>
      <c r="L146" s="32">
        <f>'[1]Gurobi tests'!G145</f>
        <v>3589.53</v>
      </c>
      <c r="M146" s="33">
        <f>'[1]Gurobi tests'!H145/100</f>
        <v>0.18580260282157599</v>
      </c>
      <c r="N146" s="30">
        <f t="shared" si="38"/>
        <v>-2.9520726653257716E-2</v>
      </c>
      <c r="O146" s="30">
        <f t="shared" si="40"/>
        <v>-0.98734541848097102</v>
      </c>
      <c r="P146" s="14"/>
      <c r="Q146" s="20"/>
      <c r="R146" s="20"/>
      <c r="S146" s="2"/>
      <c r="T146" s="2"/>
      <c r="U146" s="2"/>
    </row>
    <row r="147" spans="1:21" ht="17" x14ac:dyDescent="0.2">
      <c r="A147" s="19" t="s">
        <v>177</v>
      </c>
      <c r="B147" s="14" t="s">
        <v>289</v>
      </c>
      <c r="C147" s="28">
        <f>[1]ALNS!Z317</f>
        <v>265428.51200000005</v>
      </c>
      <c r="D147" s="28">
        <f>[1]ALNS!AA317</f>
        <v>265398.32</v>
      </c>
      <c r="E147" s="29">
        <f>[1]ALNS!AD317</f>
        <v>2.5434857720440753E-4</v>
      </c>
      <c r="F147" s="28">
        <f>[1]ALNS!AE317</f>
        <v>95.096000000000018</v>
      </c>
      <c r="G147" s="58" t="s">
        <v>15</v>
      </c>
      <c r="H147" s="58" t="s">
        <v>32</v>
      </c>
      <c r="I147" s="59" t="s">
        <v>32</v>
      </c>
      <c r="J147" s="59" t="s">
        <v>32</v>
      </c>
      <c r="K147" s="28">
        <f>'[1]Gurobi tests'!F146</f>
        <v>298488.93559347099</v>
      </c>
      <c r="L147" s="32">
        <f>'[1]Gurobi tests'!G146</f>
        <v>4213.93</v>
      </c>
      <c r="M147" s="33">
        <f>'[1]Gurobi tests'!H146/100</f>
        <v>0.25150943332804998</v>
      </c>
      <c r="N147" s="30">
        <f t="shared" si="38"/>
        <v>-0.11075929339805683</v>
      </c>
      <c r="O147" s="30">
        <f t="shared" si="40"/>
        <v>-0.98871647132249474</v>
      </c>
      <c r="P147" s="14"/>
      <c r="Q147" s="20"/>
      <c r="R147" s="20"/>
      <c r="S147" s="2"/>
      <c r="T147" s="2"/>
      <c r="U147" s="2"/>
    </row>
    <row r="148" spans="1:21" ht="17" x14ac:dyDescent="0.2">
      <c r="A148" s="19" t="s">
        <v>178</v>
      </c>
      <c r="B148" s="14" t="s">
        <v>289</v>
      </c>
      <c r="C148" s="28">
        <f>[1]ALNS!Z318</f>
        <v>291702.02800000005</v>
      </c>
      <c r="D148" s="28">
        <f>[1]ALNS!AA318</f>
        <v>291648.53999999998</v>
      </c>
      <c r="E148" s="29">
        <f>[1]ALNS!AD318</f>
        <v>2.510831374460221E-4</v>
      </c>
      <c r="F148" s="28">
        <f>[1]ALNS!AE318</f>
        <v>118.07599999999999</v>
      </c>
      <c r="G148" s="58" t="s">
        <v>15</v>
      </c>
      <c r="H148" s="58" t="s">
        <v>32</v>
      </c>
      <c r="I148" s="59" t="s">
        <v>32</v>
      </c>
      <c r="J148" s="59" t="s">
        <v>32</v>
      </c>
      <c r="K148" s="58" t="s">
        <v>15</v>
      </c>
      <c r="L148" s="58" t="s">
        <v>32</v>
      </c>
      <c r="M148" s="59" t="s">
        <v>32</v>
      </c>
      <c r="N148" s="59" t="s">
        <v>32</v>
      </c>
      <c r="O148" s="32" t="s">
        <v>32</v>
      </c>
      <c r="P148" s="14"/>
      <c r="Q148" s="20"/>
      <c r="R148" s="20"/>
      <c r="S148" s="2"/>
      <c r="T148" s="2"/>
      <c r="U148" s="2"/>
    </row>
    <row r="149" spans="1:21" x14ac:dyDescent="0.2">
      <c r="A149" s="14"/>
      <c r="B149" s="14"/>
      <c r="C149" s="28"/>
      <c r="D149" s="28"/>
      <c r="E149" s="29"/>
      <c r="F149" s="28"/>
      <c r="G149" s="32"/>
      <c r="H149" s="32"/>
      <c r="I149" s="30"/>
      <c r="J149" s="32"/>
      <c r="K149" s="32"/>
      <c r="L149" s="32"/>
      <c r="M149" s="32"/>
      <c r="N149" s="32"/>
      <c r="O149" s="32"/>
      <c r="P149" s="14"/>
      <c r="Q149" s="20"/>
      <c r="R149" s="20"/>
      <c r="S149" s="2"/>
      <c r="T149" s="2"/>
      <c r="U149" s="2"/>
    </row>
    <row r="150" spans="1:21" x14ac:dyDescent="0.2">
      <c r="A150" s="19" t="s">
        <v>179</v>
      </c>
      <c r="B150" s="14" t="s">
        <v>289</v>
      </c>
      <c r="C150" s="28">
        <f>[1]ALNS!Z320</f>
        <v>94788.78</v>
      </c>
      <c r="D150" s="28">
        <f>[1]ALNS!AA320</f>
        <v>94788.78</v>
      </c>
      <c r="E150" s="29">
        <f>[1]ALNS!AD320</f>
        <v>0</v>
      </c>
      <c r="F150" s="28">
        <f>[1]ALNS!AE320</f>
        <v>19.431999999999999</v>
      </c>
      <c r="G150" s="28">
        <f>'[1]PFB tests'!F148</f>
        <v>94788.780499999993</v>
      </c>
      <c r="H150" s="28">
        <f>'[1]PFB tests'!G148</f>
        <v>14.296959083003401</v>
      </c>
      <c r="I150" s="30">
        <f>(C150-G150)/G150</f>
        <v>-5.2748858251731095E-9</v>
      </c>
      <c r="J150" s="30">
        <f>(F150-H150)/H150</f>
        <v>0.35917014850390588</v>
      </c>
      <c r="K150" s="32">
        <f>'[1]Gurobi tests'!F149</f>
        <v>94788.780150025093</v>
      </c>
      <c r="L150" s="32">
        <f>'[1]Gurobi tests'!G149</f>
        <v>137.6</v>
      </c>
      <c r="M150" s="33">
        <f>'[1]Gurobi tests'!H149/100</f>
        <v>0</v>
      </c>
      <c r="N150" s="30">
        <f t="shared" ref="N150:N152" si="41">(C150-K150)/K150</f>
        <v>-1.5827305129259192E-9</v>
      </c>
      <c r="O150" s="30">
        <f t="shared" ref="O150:O155" si="42">(F150/2-L150)/L150</f>
        <v>-0.929389534883721</v>
      </c>
      <c r="P150" s="14"/>
      <c r="Q150" s="20"/>
      <c r="R150" s="20"/>
      <c r="S150" s="2"/>
      <c r="T150" s="2"/>
      <c r="U150" s="2"/>
    </row>
    <row r="151" spans="1:21" ht="17" x14ac:dyDescent="0.2">
      <c r="A151" s="19" t="s">
        <v>180</v>
      </c>
      <c r="B151" s="14" t="s">
        <v>289</v>
      </c>
      <c r="C151" s="28">
        <f>[1]ALNS!Z321</f>
        <v>153819.10999999999</v>
      </c>
      <c r="D151" s="28">
        <f>[1]ALNS!AA321</f>
        <v>153819.10999999999</v>
      </c>
      <c r="E151" s="29">
        <f>[1]ALNS!AD321</f>
        <v>0</v>
      </c>
      <c r="F151" s="28">
        <f>[1]ALNS!AE321</f>
        <v>33.6</v>
      </c>
      <c r="G151" s="28" t="str">
        <f>'[1]PFB tests'!F149</f>
        <v>Infeasible</v>
      </c>
      <c r="H151" s="28">
        <f>'[1]PFB tests'!G149</f>
        <v>17.999062916998799</v>
      </c>
      <c r="I151" s="30" t="s">
        <v>32</v>
      </c>
      <c r="J151" s="30">
        <f t="shared" ref="J151:J157" si="43">(F151-H151)/H151</f>
        <v>0.86676385070398621</v>
      </c>
      <c r="K151" s="32">
        <f>'[1]Gurobi tests'!F150</f>
        <v>154936.74315000701</v>
      </c>
      <c r="L151" s="32">
        <f>'[1]Gurobi tests'!G150</f>
        <v>3628.97</v>
      </c>
      <c r="M151" s="33">
        <f>'[1]Gurobi tests'!H150/100</f>
        <v>0.179140690436218</v>
      </c>
      <c r="N151" s="30">
        <f t="shared" si="41"/>
        <v>-7.2134803358100165E-3</v>
      </c>
      <c r="O151" s="30">
        <f t="shared" si="42"/>
        <v>-0.99537058724651895</v>
      </c>
      <c r="P151" s="14"/>
      <c r="Q151" s="20"/>
      <c r="R151" s="20"/>
      <c r="S151" s="2"/>
      <c r="T151" s="2"/>
      <c r="U151" s="2"/>
    </row>
    <row r="152" spans="1:21" x14ac:dyDescent="0.2">
      <c r="A152" s="19" t="s">
        <v>181</v>
      </c>
      <c r="B152" s="14" t="s">
        <v>289</v>
      </c>
      <c r="C152" s="28">
        <f>[1]ALNS!Z322</f>
        <v>192879.52999999997</v>
      </c>
      <c r="D152" s="28">
        <f>[1]ALNS!AA322</f>
        <v>192354.9</v>
      </c>
      <c r="E152" s="29">
        <f>[1]ALNS!AD322</f>
        <v>6.0820779843030115E-3</v>
      </c>
      <c r="F152" s="28">
        <f>[1]ALNS!AE322</f>
        <v>54.748000000000005</v>
      </c>
      <c r="G152" s="28">
        <f>'[1]PFB tests'!F150</f>
        <v>212324.03749999899</v>
      </c>
      <c r="H152" s="28">
        <f>'[1]PFB tests'!G150</f>
        <v>29.398269207995298</v>
      </c>
      <c r="I152" s="30">
        <f t="shared" ref="I152:I157" si="44">(C152-G152)/G152</f>
        <v>-9.1579397834308379E-2</v>
      </c>
      <c r="J152" s="30">
        <f t="shared" si="43"/>
        <v>0.8622865044419169</v>
      </c>
      <c r="K152" s="32">
        <f>'[1]Gurobi tests'!F151</f>
        <v>219207.69166988699</v>
      </c>
      <c r="L152" s="32">
        <f>'[1]Gurobi tests'!G151</f>
        <v>3647.87</v>
      </c>
      <c r="M152" s="33">
        <f>'[1]Gurobi tests'!H151/100</f>
        <v>0.331216509989603</v>
      </c>
      <c r="N152" s="30">
        <f t="shared" si="41"/>
        <v>-0.12010601210807684</v>
      </c>
      <c r="O152" s="30">
        <f t="shared" si="42"/>
        <v>-0.99249589486467449</v>
      </c>
      <c r="P152" s="14"/>
      <c r="Q152" s="20"/>
      <c r="R152" s="20"/>
      <c r="S152" s="2"/>
      <c r="T152" s="2"/>
      <c r="U152" s="2"/>
    </row>
    <row r="153" spans="1:21" x14ac:dyDescent="0.2">
      <c r="A153" s="19" t="s">
        <v>182</v>
      </c>
      <c r="B153" s="14" t="s">
        <v>289</v>
      </c>
      <c r="C153" s="28">
        <f>[1]ALNS!Z323</f>
        <v>216415.03999999998</v>
      </c>
      <c r="D153" s="28">
        <f>[1]ALNS!AA323</f>
        <v>216415.04</v>
      </c>
      <c r="E153" s="29">
        <f>[1]ALNS!AD323</f>
        <v>1.5035494600302576E-16</v>
      </c>
      <c r="F153" s="28">
        <f>[1]ALNS!AE323</f>
        <v>62.720000000000006</v>
      </c>
      <c r="G153" s="28">
        <f>'[1]PFB tests'!F151</f>
        <v>218235.217999999</v>
      </c>
      <c r="H153" s="28">
        <f>'[1]PFB tests'!G151</f>
        <v>37.433645875003997</v>
      </c>
      <c r="I153" s="30">
        <f t="shared" si="44"/>
        <v>-8.3404411839661605E-3</v>
      </c>
      <c r="J153" s="30">
        <f t="shared" si="43"/>
        <v>0.67549803215616677</v>
      </c>
      <c r="K153" s="32">
        <f>'[1]Gurobi tests'!F152</f>
        <v>218351.757728116</v>
      </c>
      <c r="L153" s="32">
        <f>'[1]Gurobi tests'!G152</f>
        <v>3709.45</v>
      </c>
      <c r="M153" s="33">
        <f>'[1]Gurobi tests'!H152/100</f>
        <v>0.21538727285329798</v>
      </c>
      <c r="N153" s="30">
        <f>(C153-K153)/K153</f>
        <v>-8.8697143923501601E-3</v>
      </c>
      <c r="O153" s="30">
        <f t="shared" si="42"/>
        <v>-0.99154591651053392</v>
      </c>
      <c r="P153" s="14"/>
      <c r="Q153" s="20"/>
      <c r="R153" s="20"/>
      <c r="S153" s="2"/>
      <c r="T153" s="2"/>
      <c r="U153" s="2"/>
    </row>
    <row r="154" spans="1:21" ht="17" x14ac:dyDescent="0.2">
      <c r="A154" s="19" t="s">
        <v>183</v>
      </c>
      <c r="B154" s="14" t="s">
        <v>289</v>
      </c>
      <c r="C154" s="28">
        <f>[1]ALNS!Z324</f>
        <v>270108.38799999992</v>
      </c>
      <c r="D154" s="28">
        <f>[1]ALNS!AA324</f>
        <v>269268.3</v>
      </c>
      <c r="E154" s="29">
        <f>[1]ALNS!AD324</f>
        <v>1.7386482228402868E-3</v>
      </c>
      <c r="F154" s="28">
        <f>[1]ALNS!AE324</f>
        <v>114.23400000000001</v>
      </c>
      <c r="G154" s="28">
        <f>'[1]PFB tests'!F152</f>
        <v>273246.96549999999</v>
      </c>
      <c r="H154" s="28">
        <f>'[1]PFB tests'!G152</f>
        <v>61.919300790999799</v>
      </c>
      <c r="I154" s="30">
        <f t="shared" si="44"/>
        <v>-1.1486230027319634E-2</v>
      </c>
      <c r="J154" s="30">
        <f t="shared" si="43"/>
        <v>0.84488517377774308</v>
      </c>
      <c r="K154" s="32" t="str">
        <f>'[1]Gurobi tests'!F153</f>
        <v>Infeasible</v>
      </c>
      <c r="L154" s="32">
        <f>'[1]Gurobi tests'!G153</f>
        <v>3772.47</v>
      </c>
      <c r="M154" s="34" t="s">
        <v>32</v>
      </c>
      <c r="N154" s="26" t="s">
        <v>32</v>
      </c>
      <c r="O154" s="30">
        <f t="shared" si="42"/>
        <v>-0.98485952174569968</v>
      </c>
      <c r="P154" s="14"/>
      <c r="Q154" s="20"/>
      <c r="R154" s="20"/>
      <c r="S154" s="2"/>
      <c r="T154" s="2"/>
      <c r="U154" s="2"/>
    </row>
    <row r="155" spans="1:21" ht="17" x14ac:dyDescent="0.2">
      <c r="A155" s="19" t="s">
        <v>184</v>
      </c>
      <c r="B155" s="14" t="s">
        <v>289</v>
      </c>
      <c r="C155" s="28">
        <f>[1]ALNS!Z325</f>
        <v>287042.93400000001</v>
      </c>
      <c r="D155" s="28">
        <f>[1]ALNS!AA325</f>
        <v>286945.28999999998</v>
      </c>
      <c r="E155" s="29">
        <f>[1]ALNS!AD325</f>
        <v>4.6579984272530575E-4</v>
      </c>
      <c r="F155" s="28">
        <f>[1]ALNS!AE325</f>
        <v>119.97799999999999</v>
      </c>
      <c r="G155" s="28">
        <f>'[1]PFB tests'!F153</f>
        <v>289679.734</v>
      </c>
      <c r="H155" s="28">
        <f>'[1]PFB tests'!G153</f>
        <v>106.098107875004</v>
      </c>
      <c r="I155" s="30">
        <f t="shared" si="44"/>
        <v>-9.1024662429439688E-3</v>
      </c>
      <c r="J155" s="30">
        <f t="shared" si="43"/>
        <v>0.13082129741039425</v>
      </c>
      <c r="K155" s="32" t="str">
        <f>'[1]Gurobi tests'!F154</f>
        <v>Infeasible</v>
      </c>
      <c r="L155" s="32">
        <f>'[1]Gurobi tests'!G154</f>
        <v>3846.17</v>
      </c>
      <c r="M155" s="34" t="s">
        <v>32</v>
      </c>
      <c r="N155" s="26" t="s">
        <v>32</v>
      </c>
      <c r="O155" s="30">
        <f t="shared" si="42"/>
        <v>-0.98440292550771291</v>
      </c>
      <c r="P155" s="14"/>
      <c r="Q155" s="20"/>
      <c r="R155" s="20"/>
      <c r="S155" s="2"/>
      <c r="T155" s="2"/>
      <c r="U155" s="2"/>
    </row>
    <row r="156" spans="1:21" ht="17" x14ac:dyDescent="0.2">
      <c r="A156" s="19" t="s">
        <v>185</v>
      </c>
      <c r="B156" s="14" t="s">
        <v>289</v>
      </c>
      <c r="C156" s="28">
        <f>[1]ALNS!Z326</f>
        <v>306543.32799999998</v>
      </c>
      <c r="D156" s="28">
        <f>[1]ALNS!AA326</f>
        <v>305605.24</v>
      </c>
      <c r="E156" s="29">
        <f>[1]ALNS!AD326</f>
        <v>4.325266789737406E-3</v>
      </c>
      <c r="F156" s="28">
        <f>[1]ALNS!AE326</f>
        <v>210.83</v>
      </c>
      <c r="G156" s="28">
        <f>'[1]PFB tests'!F154</f>
        <v>309734.77799999999</v>
      </c>
      <c r="H156" s="28">
        <f>'[1]PFB tests'!G154</f>
        <v>554.12194354199801</v>
      </c>
      <c r="I156" s="30">
        <f t="shared" si="44"/>
        <v>-1.0303815479190431E-2</v>
      </c>
      <c r="J156" s="30">
        <f t="shared" si="43"/>
        <v>-0.61952418153239797</v>
      </c>
      <c r="K156" s="58" t="s">
        <v>15</v>
      </c>
      <c r="L156" s="58" t="s">
        <v>32</v>
      </c>
      <c r="M156" s="59" t="s">
        <v>32</v>
      </c>
      <c r="N156" s="59" t="s">
        <v>32</v>
      </c>
      <c r="O156" s="32" t="s">
        <v>32</v>
      </c>
      <c r="P156" s="14"/>
      <c r="Q156" s="20"/>
      <c r="R156" s="20"/>
      <c r="S156" s="2"/>
      <c r="T156" s="2"/>
      <c r="U156" s="2"/>
    </row>
    <row r="157" spans="1:21" ht="17" x14ac:dyDescent="0.2">
      <c r="A157" s="19" t="s">
        <v>186</v>
      </c>
      <c r="B157" s="14" t="s">
        <v>289</v>
      </c>
      <c r="C157" s="28">
        <f>[1]ALNS!Z327</f>
        <v>332362.13</v>
      </c>
      <c r="D157" s="28">
        <f>[1]ALNS!AA327</f>
        <v>332362.13</v>
      </c>
      <c r="E157" s="29">
        <f>[1]ALNS!AD327</f>
        <v>0</v>
      </c>
      <c r="F157" s="28">
        <f>[1]ALNS!AE327</f>
        <v>249.86599999999999</v>
      </c>
      <c r="G157" s="28">
        <f>'[1]PFB tests'!F155</f>
        <v>333133.307749987</v>
      </c>
      <c r="H157" s="28">
        <f>'[1]PFB tests'!G155</f>
        <v>3640.6455489159998</v>
      </c>
      <c r="I157" s="30">
        <f t="shared" si="44"/>
        <v>-2.3149223810599983E-3</v>
      </c>
      <c r="J157" s="30">
        <f t="shared" si="43"/>
        <v>-0.93136766635400758</v>
      </c>
      <c r="K157" s="58" t="s">
        <v>15</v>
      </c>
      <c r="L157" s="58" t="s">
        <v>32</v>
      </c>
      <c r="M157" s="59" t="s">
        <v>32</v>
      </c>
      <c r="N157" s="59" t="s">
        <v>32</v>
      </c>
      <c r="O157" s="32" t="s">
        <v>32</v>
      </c>
      <c r="P157" s="14"/>
      <c r="Q157" s="20"/>
      <c r="R157" s="20"/>
      <c r="S157" s="2"/>
      <c r="T157" s="2"/>
      <c r="U157" s="2"/>
    </row>
    <row r="158" spans="1:21" ht="17" x14ac:dyDescent="0.2">
      <c r="A158" s="19" t="s">
        <v>187</v>
      </c>
      <c r="B158" s="14" t="s">
        <v>289</v>
      </c>
      <c r="C158" s="28">
        <f>[1]ALNS!Z328</f>
        <v>353413.30200000003</v>
      </c>
      <c r="D158" s="28">
        <f>[1]ALNS!AA328</f>
        <v>352821.03</v>
      </c>
      <c r="E158" s="29">
        <f>[1]ALNS!AD328</f>
        <v>2.2947688495515246E-3</v>
      </c>
      <c r="F158" s="28">
        <f>[1]ALNS!AE328</f>
        <v>386.03399999999999</v>
      </c>
      <c r="G158" s="58" t="s">
        <v>15</v>
      </c>
      <c r="H158" s="58" t="s">
        <v>32</v>
      </c>
      <c r="I158" s="59" t="s">
        <v>32</v>
      </c>
      <c r="J158" s="59" t="s">
        <v>32</v>
      </c>
      <c r="K158" s="58" t="s">
        <v>15</v>
      </c>
      <c r="L158" s="58" t="s">
        <v>32</v>
      </c>
      <c r="M158" s="59" t="s">
        <v>32</v>
      </c>
      <c r="N158" s="59" t="s">
        <v>32</v>
      </c>
      <c r="O158" s="32" t="s">
        <v>32</v>
      </c>
      <c r="P158" s="14"/>
      <c r="Q158" s="20"/>
      <c r="R158" s="20"/>
      <c r="S158" s="2"/>
      <c r="T158" s="2"/>
      <c r="U158" s="2"/>
    </row>
    <row r="159" spans="1:21" ht="17" x14ac:dyDescent="0.2">
      <c r="A159" s="19" t="s">
        <v>188</v>
      </c>
      <c r="B159" s="14" t="s">
        <v>289</v>
      </c>
      <c r="C159" s="28">
        <f>[1]ALNS!Z329</f>
        <v>389224.52999999997</v>
      </c>
      <c r="D159" s="28">
        <f>[1]ALNS!AA329</f>
        <v>388885.81</v>
      </c>
      <c r="E159" s="29">
        <f>[1]ALNS!AD329</f>
        <v>1.2070258737802069E-3</v>
      </c>
      <c r="F159" s="28">
        <f>[1]ALNS!AE329</f>
        <v>376.23599999999999</v>
      </c>
      <c r="G159" s="58" t="s">
        <v>15</v>
      </c>
      <c r="H159" s="58" t="s">
        <v>32</v>
      </c>
      <c r="I159" s="59" t="s">
        <v>32</v>
      </c>
      <c r="J159" s="59" t="s">
        <v>32</v>
      </c>
      <c r="K159" s="58" t="s">
        <v>15</v>
      </c>
      <c r="L159" s="58" t="s">
        <v>32</v>
      </c>
      <c r="M159" s="59" t="s">
        <v>32</v>
      </c>
      <c r="N159" s="59" t="s">
        <v>32</v>
      </c>
      <c r="O159" s="32" t="s">
        <v>32</v>
      </c>
      <c r="P159" s="14"/>
      <c r="Q159" s="20"/>
      <c r="R159" s="20"/>
      <c r="S159" s="2"/>
      <c r="T159" s="2"/>
      <c r="U159" s="2"/>
    </row>
    <row r="160" spans="1:21" x14ac:dyDescent="0.2">
      <c r="A160" s="19"/>
      <c r="B160" s="14"/>
      <c r="C160" s="28"/>
      <c r="D160" s="28"/>
      <c r="E160" s="29"/>
      <c r="F160" s="28"/>
      <c r="G160" s="32"/>
      <c r="H160" s="32"/>
      <c r="I160" s="30"/>
      <c r="J160" s="32"/>
      <c r="K160" s="32"/>
      <c r="L160" s="32"/>
      <c r="M160" s="32"/>
      <c r="N160" s="32"/>
      <c r="O160" s="32"/>
      <c r="P160" s="14"/>
      <c r="Q160" s="20"/>
      <c r="R160" s="20"/>
      <c r="S160" s="2"/>
      <c r="T160" s="2"/>
      <c r="U160" s="2"/>
    </row>
    <row r="161" spans="1:21" ht="17" x14ac:dyDescent="0.2">
      <c r="A161" s="19" t="s">
        <v>189</v>
      </c>
      <c r="B161" s="14" t="s">
        <v>289</v>
      </c>
      <c r="C161" s="6" t="str">
        <f>[1]ALNS!Z331</f>
        <v>Infeasible</v>
      </c>
      <c r="D161" s="28" t="str">
        <f>[1]ALNS!AA331</f>
        <v>-</v>
      </c>
      <c r="E161" s="29" t="str">
        <f>[1]ALNS!AD331</f>
        <v>-</v>
      </c>
      <c r="F161" s="28">
        <f>[1]ALNS!AE331</f>
        <v>20.61</v>
      </c>
      <c r="G161" s="14" t="str">
        <f>'[1]PFB tests'!F159</f>
        <v>Infeasible</v>
      </c>
      <c r="H161" s="28">
        <f>'[1]PFB tests'!G159</f>
        <v>13.637333874998101</v>
      </c>
      <c r="I161" s="30" t="s">
        <v>32</v>
      </c>
      <c r="J161" s="30">
        <f>(F161-H161)/H161</f>
        <v>0.51129247028153957</v>
      </c>
      <c r="K161" s="28" t="str">
        <f>'[1]Gurobi tests'!F160</f>
        <v>Infeasible</v>
      </c>
      <c r="L161" s="28">
        <f>'[1]Gurobi tests'!G160</f>
        <v>3617.31</v>
      </c>
      <c r="M161" s="33" t="s">
        <v>32</v>
      </c>
      <c r="N161" s="30" t="s">
        <v>32</v>
      </c>
      <c r="O161" s="30">
        <f t="shared" ref="O161:O166" si="45">(F161/2-L161)/L161</f>
        <v>-0.99715119798966645</v>
      </c>
      <c r="P161" s="14"/>
      <c r="Q161" s="20"/>
      <c r="R161" s="20"/>
      <c r="S161" s="2"/>
      <c r="T161" s="2"/>
      <c r="U161" s="2"/>
    </row>
    <row r="162" spans="1:21" ht="17" x14ac:dyDescent="0.2">
      <c r="A162" s="19" t="s">
        <v>190</v>
      </c>
      <c r="B162" s="14" t="s">
        <v>289</v>
      </c>
      <c r="C162" s="6" t="str">
        <f>[1]ALNS!Z332</f>
        <v>Infeasible</v>
      </c>
      <c r="D162" s="28" t="str">
        <f>[1]ALNS!AA332</f>
        <v>-</v>
      </c>
      <c r="E162" s="29" t="str">
        <f>[1]ALNS!AD332</f>
        <v>-</v>
      </c>
      <c r="F162" s="28">
        <f>[1]ALNS!AE332</f>
        <v>39.572000000000003</v>
      </c>
      <c r="G162" s="14" t="str">
        <f>'[1]PFB tests'!F160</f>
        <v>Infeasible</v>
      </c>
      <c r="H162" s="28">
        <f>'[1]PFB tests'!G160</f>
        <v>17.960888207999201</v>
      </c>
      <c r="I162" s="30" t="s">
        <v>32</v>
      </c>
      <c r="J162" s="30">
        <f t="shared" ref="J162:J168" si="46">(F162-H162)/H162</f>
        <v>1.2032317968760537</v>
      </c>
      <c r="K162" s="28" t="str">
        <f>'[1]Gurobi tests'!F161</f>
        <v>Infeasible</v>
      </c>
      <c r="L162" s="28">
        <f>'[1]Gurobi tests'!G161</f>
        <v>3629.23</v>
      </c>
      <c r="M162" s="33" t="s">
        <v>32</v>
      </c>
      <c r="N162" s="30" t="s">
        <v>32</v>
      </c>
      <c r="O162" s="30">
        <f t="shared" si="45"/>
        <v>-0.99454815484276282</v>
      </c>
      <c r="P162" s="14"/>
      <c r="Q162" s="20"/>
      <c r="R162" s="20"/>
      <c r="S162" s="2"/>
      <c r="T162" s="2"/>
      <c r="U162" s="2"/>
    </row>
    <row r="163" spans="1:21" ht="17" x14ac:dyDescent="0.2">
      <c r="A163" s="19" t="s">
        <v>191</v>
      </c>
      <c r="B163" s="14" t="s">
        <v>289</v>
      </c>
      <c r="C163" s="28">
        <f>[1]ALNS!Z333</f>
        <v>244693.37999999998</v>
      </c>
      <c r="D163" s="28">
        <f>[1]ALNS!AA333</f>
        <v>244693.38</v>
      </c>
      <c r="E163" s="29">
        <f>[1]ALNS!AD333</f>
        <v>1.3297896188872237E-16</v>
      </c>
      <c r="F163" s="28">
        <f>[1]ALNS!AE333</f>
        <v>74.611999999999995</v>
      </c>
      <c r="G163" s="14" t="str">
        <f>'[1]PFB tests'!F161</f>
        <v>Infeasible</v>
      </c>
      <c r="H163" s="28">
        <f>'[1]PFB tests'!G161</f>
        <v>28.599651666001499</v>
      </c>
      <c r="I163" s="30" t="s">
        <v>32</v>
      </c>
      <c r="J163" s="30">
        <f t="shared" si="46"/>
        <v>1.6088429632412882</v>
      </c>
      <c r="K163" s="28">
        <f>'[1]Gurobi tests'!F162</f>
        <v>247019.57122999901</v>
      </c>
      <c r="L163" s="28">
        <f>'[1]Gurobi tests'!G162</f>
        <v>3662.94</v>
      </c>
      <c r="M163" s="33">
        <f>'[1]Gurobi tests'!H162/100</f>
        <v>0.35394876407203296</v>
      </c>
      <c r="N163" s="30" t="s">
        <v>32</v>
      </c>
      <c r="O163" s="30">
        <f t="shared" si="45"/>
        <v>-0.9898152849896531</v>
      </c>
      <c r="P163" s="14"/>
      <c r="Q163" s="20"/>
      <c r="R163" s="20"/>
      <c r="S163" s="2"/>
      <c r="T163" s="2"/>
      <c r="U163" s="2"/>
    </row>
    <row r="164" spans="1:21" ht="17" x14ac:dyDescent="0.2">
      <c r="A164" s="19" t="s">
        <v>192</v>
      </c>
      <c r="B164" s="14" t="s">
        <v>289</v>
      </c>
      <c r="C164" s="28">
        <f>[1]ALNS!Z334</f>
        <v>296464.04200000002</v>
      </c>
      <c r="D164" s="28">
        <f>[1]ALNS!AA334</f>
        <v>294069.09000000003</v>
      </c>
      <c r="E164" s="29">
        <f>[1]ALNS!AD334</f>
        <v>1.8063828040397068E-2</v>
      </c>
      <c r="F164" s="28">
        <f>[1]ALNS!AE334</f>
        <v>112.75200000000002</v>
      </c>
      <c r="G164" s="14" t="str">
        <f>'[1]PFB tests'!F162</f>
        <v>Infeasible</v>
      </c>
      <c r="H164" s="28">
        <f>'[1]PFB tests'!G162</f>
        <v>32.017651374997499</v>
      </c>
      <c r="I164" s="30" t="s">
        <v>32</v>
      </c>
      <c r="J164" s="30">
        <f t="shared" si="46"/>
        <v>2.5215574896304784</v>
      </c>
      <c r="K164" s="28" t="str">
        <f>'[1]Gurobi tests'!F163</f>
        <v>Infeasible</v>
      </c>
      <c r="L164" s="28">
        <f>'[1]Gurobi tests'!G163</f>
        <v>3708.25</v>
      </c>
      <c r="M164" s="33" t="s">
        <v>32</v>
      </c>
      <c r="N164" s="30" t="s">
        <v>32</v>
      </c>
      <c r="O164" s="30">
        <f t="shared" si="45"/>
        <v>-0.98479714150879794</v>
      </c>
      <c r="P164" s="14"/>
      <c r="Q164" s="20"/>
      <c r="R164" s="20"/>
      <c r="S164" s="2"/>
      <c r="T164" s="2"/>
      <c r="U164" s="2"/>
    </row>
    <row r="165" spans="1:21" ht="17" x14ac:dyDescent="0.2">
      <c r="A165" s="19" t="s">
        <v>193</v>
      </c>
      <c r="B165" s="14" t="s">
        <v>289</v>
      </c>
      <c r="C165" s="28">
        <f>[1]ALNS!Z335</f>
        <v>391842.91799999995</v>
      </c>
      <c r="D165" s="28">
        <f>[1]ALNS!AA335</f>
        <v>389601.19</v>
      </c>
      <c r="E165" s="29">
        <f>[1]ALNS!AD335</f>
        <v>5.7984800073012628E-3</v>
      </c>
      <c r="F165" s="28">
        <f>[1]ALNS!AE335</f>
        <v>125.33800000000001</v>
      </c>
      <c r="G165" s="14" t="str">
        <f>'[1]PFB tests'!F163</f>
        <v>Infeasible</v>
      </c>
      <c r="H165" s="28">
        <f>'[1]PFB tests'!G163</f>
        <v>50.429768999994799</v>
      </c>
      <c r="I165" s="30" t="s">
        <v>32</v>
      </c>
      <c r="J165" s="30">
        <f t="shared" si="46"/>
        <v>1.4853970677520441</v>
      </c>
      <c r="K165" s="28" t="str">
        <f>'[1]Gurobi tests'!F164</f>
        <v>Infeasible</v>
      </c>
      <c r="L165" s="28">
        <f>'[1]Gurobi tests'!G164</f>
        <v>3772.61</v>
      </c>
      <c r="M165" s="33" t="s">
        <v>32</v>
      </c>
      <c r="N165" s="30" t="s">
        <v>32</v>
      </c>
      <c r="O165" s="30">
        <f t="shared" si="45"/>
        <v>-0.9833884233991852</v>
      </c>
      <c r="P165" s="14"/>
      <c r="Q165" s="20"/>
      <c r="R165" s="20"/>
      <c r="S165" s="2"/>
      <c r="T165" s="2"/>
      <c r="U165" s="2"/>
    </row>
    <row r="166" spans="1:21" ht="17" x14ac:dyDescent="0.2">
      <c r="A166" s="19" t="s">
        <v>194</v>
      </c>
      <c r="B166" s="14" t="s">
        <v>289</v>
      </c>
      <c r="C166" s="28">
        <f>[1]ALNS!Z336</f>
        <v>389668.49800000002</v>
      </c>
      <c r="D166" s="28">
        <f>[1]ALNS!AA336</f>
        <v>389560.03</v>
      </c>
      <c r="E166" s="29">
        <f>[1]ALNS!AD336</f>
        <v>5.4756595035976969E-4</v>
      </c>
      <c r="F166" s="28">
        <f>[1]ALNS!AE336</f>
        <v>258.33000000000004</v>
      </c>
      <c r="G166" s="6">
        <f>'[1]PFB tests'!F164</f>
        <v>395654.35699999903</v>
      </c>
      <c r="H166" s="28">
        <f>'[1]PFB tests'!G164</f>
        <v>100.44642454200201</v>
      </c>
      <c r="I166" s="30">
        <f>(C166-G166)/G166</f>
        <v>-1.5129010698595749E-2</v>
      </c>
      <c r="J166" s="30">
        <f t="shared" si="46"/>
        <v>1.5718187698356401</v>
      </c>
      <c r="K166" s="28" t="str">
        <f>'[1]Gurobi tests'!F165</f>
        <v>Infeasible</v>
      </c>
      <c r="L166" s="28">
        <f>'[1]Gurobi tests'!G165</f>
        <v>3890.08</v>
      </c>
      <c r="M166" s="33" t="s">
        <v>32</v>
      </c>
      <c r="N166" s="30" t="s">
        <v>32</v>
      </c>
      <c r="O166" s="30">
        <f t="shared" si="45"/>
        <v>-0.96679631267223298</v>
      </c>
      <c r="P166" s="14"/>
      <c r="Q166" s="20"/>
      <c r="R166" s="20"/>
      <c r="S166" s="2"/>
      <c r="T166" s="2"/>
      <c r="U166" s="2"/>
    </row>
    <row r="167" spans="1:21" ht="17" x14ac:dyDescent="0.2">
      <c r="A167" s="19" t="s">
        <v>195</v>
      </c>
      <c r="B167" s="14" t="s">
        <v>289</v>
      </c>
      <c r="C167" s="28">
        <f>[1]ALNS!Z337</f>
        <v>413634.11599999998</v>
      </c>
      <c r="D167" s="28">
        <f>[1]ALNS!AA337</f>
        <v>412492.22</v>
      </c>
      <c r="E167" s="29">
        <f>[1]ALNS!AD337</f>
        <v>6.1729847236177146E-3</v>
      </c>
      <c r="F167" s="28">
        <f>[1]ALNS!AE337</f>
        <v>446.642</v>
      </c>
      <c r="G167" s="6">
        <f>'[1]PFB tests'!F165</f>
        <v>424751.882099999</v>
      </c>
      <c r="H167" s="28">
        <f>'[1]PFB tests'!G165</f>
        <v>488.21707320799698</v>
      </c>
      <c r="I167" s="30">
        <f>(C167-G167)/G167</f>
        <v>-2.6174730633404402E-2</v>
      </c>
      <c r="J167" s="30">
        <f t="shared" si="46"/>
        <v>-8.5156942453515128E-2</v>
      </c>
      <c r="K167" s="58" t="s">
        <v>15</v>
      </c>
      <c r="L167" s="58" t="s">
        <v>32</v>
      </c>
      <c r="M167" s="59" t="s">
        <v>32</v>
      </c>
      <c r="N167" s="59" t="s">
        <v>32</v>
      </c>
      <c r="O167" s="32" t="s">
        <v>32</v>
      </c>
      <c r="P167" s="14"/>
      <c r="Q167" s="20"/>
      <c r="R167" s="20"/>
      <c r="S167" s="2"/>
      <c r="T167" s="2"/>
      <c r="U167" s="2"/>
    </row>
    <row r="168" spans="1:21" ht="17" x14ac:dyDescent="0.2">
      <c r="A168" s="19" t="s">
        <v>196</v>
      </c>
      <c r="B168" s="14" t="s">
        <v>289</v>
      </c>
      <c r="C168" s="28">
        <f>[1]ALNS!Z338</f>
        <v>441735.99599999998</v>
      </c>
      <c r="D168" s="28">
        <f>[1]ALNS!AA338</f>
        <v>438633.69</v>
      </c>
      <c r="E168" s="29">
        <f>[1]ALNS!AD338</f>
        <v>6.417495316301332E-3</v>
      </c>
      <c r="F168" s="28">
        <f>[1]ALNS!AE338</f>
        <v>763.65</v>
      </c>
      <c r="G168" s="6">
        <f>'[1]PFB tests'!F166</f>
        <v>451083.26519999898</v>
      </c>
      <c r="H168" s="28">
        <f>'[1]PFB tests'!G166</f>
        <v>3362.6531951249999</v>
      </c>
      <c r="I168" s="30">
        <f>(C168-G168)/G168</f>
        <v>-2.0721826591936738E-2</v>
      </c>
      <c r="J168" s="30">
        <f t="shared" si="46"/>
        <v>-0.77290253984350799</v>
      </c>
      <c r="K168" s="58" t="s">
        <v>15</v>
      </c>
      <c r="L168" s="58" t="s">
        <v>32</v>
      </c>
      <c r="M168" s="59" t="s">
        <v>32</v>
      </c>
      <c r="N168" s="59" t="s">
        <v>32</v>
      </c>
      <c r="O168" s="32" t="s">
        <v>32</v>
      </c>
      <c r="P168" s="14"/>
      <c r="Q168" s="20"/>
      <c r="R168" s="20"/>
      <c r="S168" s="2"/>
      <c r="T168" s="2"/>
      <c r="U168" s="2"/>
    </row>
    <row r="169" spans="1:21" ht="17" x14ac:dyDescent="0.2">
      <c r="A169" s="19" t="s">
        <v>197</v>
      </c>
      <c r="B169" s="14" t="s">
        <v>289</v>
      </c>
      <c r="C169" s="28">
        <f>[1]ALNS!Z339</f>
        <v>471602.03600000002</v>
      </c>
      <c r="D169" s="28">
        <f>[1]ALNS!AA339</f>
        <v>471026.8</v>
      </c>
      <c r="E169" s="29">
        <f>[1]ALNS!AD339</f>
        <v>2.7274411493530232E-3</v>
      </c>
      <c r="F169" s="28">
        <f>[1]ALNS!AE339</f>
        <v>1082.3319999999999</v>
      </c>
      <c r="G169" s="58" t="s">
        <v>15</v>
      </c>
      <c r="H169" s="58" t="s">
        <v>32</v>
      </c>
      <c r="I169" s="59" t="s">
        <v>32</v>
      </c>
      <c r="J169" s="59" t="s">
        <v>32</v>
      </c>
      <c r="K169" s="58" t="s">
        <v>15</v>
      </c>
      <c r="L169" s="58" t="s">
        <v>32</v>
      </c>
      <c r="M169" s="59" t="s">
        <v>32</v>
      </c>
      <c r="N169" s="59" t="s">
        <v>32</v>
      </c>
      <c r="O169" s="32" t="s">
        <v>32</v>
      </c>
      <c r="P169" s="14"/>
      <c r="Q169" s="20"/>
      <c r="R169" s="20"/>
      <c r="S169" s="2"/>
      <c r="T169" s="2"/>
      <c r="U169" s="2"/>
    </row>
    <row r="170" spans="1:21" ht="17" x14ac:dyDescent="0.2">
      <c r="A170" s="19" t="s">
        <v>198</v>
      </c>
      <c r="B170" s="14" t="s">
        <v>289</v>
      </c>
      <c r="C170" s="28">
        <f>[1]ALNS!Z340</f>
        <v>501930.54800000007</v>
      </c>
      <c r="D170" s="28">
        <f>[1]ALNS!AA340</f>
        <v>500331.28</v>
      </c>
      <c r="E170" s="29">
        <f>[1]ALNS!AD340</f>
        <v>3.4791663814836673E-3</v>
      </c>
      <c r="F170" s="28">
        <f>[1]ALNS!AE340</f>
        <v>1186.2919999999999</v>
      </c>
      <c r="G170" s="58" t="s">
        <v>15</v>
      </c>
      <c r="H170" s="58" t="s">
        <v>32</v>
      </c>
      <c r="I170" s="59" t="s">
        <v>32</v>
      </c>
      <c r="J170" s="59" t="s">
        <v>32</v>
      </c>
      <c r="K170" s="58" t="s">
        <v>15</v>
      </c>
      <c r="L170" s="58" t="s">
        <v>32</v>
      </c>
      <c r="M170" s="59" t="s">
        <v>32</v>
      </c>
      <c r="N170" s="59" t="s">
        <v>32</v>
      </c>
      <c r="O170" s="32" t="s">
        <v>32</v>
      </c>
      <c r="P170" s="14"/>
      <c r="Q170" s="20"/>
      <c r="R170" s="20"/>
      <c r="S170" s="2"/>
      <c r="T170" s="2"/>
      <c r="U170" s="2"/>
    </row>
    <row r="171" spans="1:21" x14ac:dyDescent="0.2">
      <c r="A171" s="19"/>
      <c r="B171" s="14"/>
      <c r="C171" s="32"/>
      <c r="D171" s="32"/>
      <c r="E171" s="32"/>
      <c r="F171" s="32"/>
      <c r="G171" s="32"/>
      <c r="H171" s="32"/>
      <c r="I171" s="30"/>
      <c r="J171" s="30"/>
      <c r="K171" s="32"/>
      <c r="L171" s="32"/>
      <c r="M171" s="32"/>
      <c r="N171" s="32"/>
      <c r="O171" s="32"/>
      <c r="P171" s="14"/>
      <c r="Q171" s="20"/>
      <c r="R171" s="20"/>
      <c r="S171" s="2"/>
      <c r="T171" s="2"/>
      <c r="U171" s="2"/>
    </row>
    <row r="172" spans="1:21" x14ac:dyDescent="0.2">
      <c r="A172" s="14"/>
      <c r="B172" s="14"/>
      <c r="C172" s="32"/>
      <c r="D172" s="32"/>
      <c r="E172" s="32"/>
      <c r="F172" s="32"/>
      <c r="G172" s="32"/>
      <c r="H172" s="32"/>
      <c r="I172" s="32"/>
      <c r="J172" s="32"/>
      <c r="K172" s="32"/>
      <c r="L172" s="32"/>
      <c r="M172" s="32"/>
      <c r="N172" s="32"/>
      <c r="O172" s="32"/>
      <c r="P172" s="14"/>
      <c r="Q172" s="20"/>
      <c r="R172" s="20"/>
      <c r="S172" s="2"/>
      <c r="T172" s="2"/>
      <c r="U172" s="2"/>
    </row>
    <row r="173" spans="1:21" x14ac:dyDescent="0.2">
      <c r="A173" s="14" t="s">
        <v>199</v>
      </c>
      <c r="B173" s="14" t="s">
        <v>289</v>
      </c>
      <c r="C173" s="28">
        <f>[1]ALNS!Z342</f>
        <v>296125.37599999999</v>
      </c>
      <c r="D173" s="28">
        <f>[1]ALNS!AA342</f>
        <v>296002.73</v>
      </c>
      <c r="E173" s="29">
        <f>[1]ALNS!AD342</f>
        <v>3.7808299137338661E-4</v>
      </c>
      <c r="F173" s="28">
        <f>[1]ALNS!AE342</f>
        <v>120.01200000000001</v>
      </c>
      <c r="G173" s="32"/>
      <c r="H173" s="32"/>
      <c r="I173" s="32"/>
      <c r="J173" s="32"/>
      <c r="K173" s="32"/>
      <c r="L173" s="32"/>
      <c r="M173" s="32"/>
      <c r="N173" s="32"/>
      <c r="O173" s="32"/>
      <c r="P173" s="14"/>
      <c r="Q173" s="20"/>
      <c r="R173" s="20"/>
      <c r="S173" s="2"/>
      <c r="T173" s="2"/>
      <c r="U173" s="2"/>
    </row>
    <row r="174" spans="1:21" x14ac:dyDescent="0.2">
      <c r="A174" s="14" t="s">
        <v>200</v>
      </c>
      <c r="B174" s="14" t="s">
        <v>289</v>
      </c>
      <c r="C174" s="28">
        <f>[1]ALNS!Z343</f>
        <v>394789.43599999999</v>
      </c>
      <c r="D174" s="28">
        <f>[1]ALNS!AA343</f>
        <v>392419.9</v>
      </c>
      <c r="E174" s="29">
        <f>[1]ALNS!AD343</f>
        <v>3.8508332963469354E-3</v>
      </c>
      <c r="F174" s="28">
        <f>[1]ALNS!AE343</f>
        <v>461.85199999999998</v>
      </c>
      <c r="G174" s="32"/>
      <c r="H174" s="32"/>
      <c r="I174" s="32"/>
      <c r="J174" s="32"/>
      <c r="K174" s="32"/>
      <c r="L174" s="32"/>
      <c r="M174" s="32"/>
      <c r="N174" s="32"/>
      <c r="O174" s="32"/>
      <c r="P174" s="14"/>
      <c r="Q174" s="20"/>
      <c r="R174" s="20"/>
      <c r="S174" s="2"/>
      <c r="T174" s="2"/>
      <c r="U174" s="2"/>
    </row>
    <row r="175" spans="1:21" x14ac:dyDescent="0.2">
      <c r="A175" s="14" t="s">
        <v>201</v>
      </c>
      <c r="B175" s="14" t="s">
        <v>289</v>
      </c>
      <c r="C175" s="28">
        <f>[1]ALNS!Z344</f>
        <v>518141.408</v>
      </c>
      <c r="D175" s="28">
        <f>[1]ALNS!AA344</f>
        <v>516269.64</v>
      </c>
      <c r="E175" s="29">
        <f>[1]ALNS!AD344</f>
        <v>2.762128507482644E-3</v>
      </c>
      <c r="F175" s="28">
        <f>[1]ALNS!AE344</f>
        <v>1732.884</v>
      </c>
      <c r="G175" s="32"/>
      <c r="H175" s="32"/>
      <c r="I175" s="32"/>
      <c r="J175" s="32"/>
      <c r="K175" s="32"/>
      <c r="L175" s="32"/>
      <c r="M175" s="32"/>
      <c r="N175" s="32"/>
      <c r="O175" s="32"/>
      <c r="P175" s="14"/>
      <c r="Q175" s="20"/>
      <c r="R175" s="20"/>
      <c r="S175" s="2"/>
      <c r="T175" s="2"/>
      <c r="U175" s="2"/>
    </row>
    <row r="176" spans="1:21" x14ac:dyDescent="0.2">
      <c r="A176" s="14"/>
      <c r="B176" s="14"/>
      <c r="C176" s="32"/>
      <c r="D176" s="32"/>
      <c r="E176" s="32"/>
      <c r="F176" s="32"/>
      <c r="G176" s="32"/>
      <c r="H176" s="32"/>
      <c r="I176" s="32"/>
      <c r="J176" s="32"/>
      <c r="K176" s="32"/>
      <c r="L176" s="32"/>
      <c r="M176" s="32"/>
      <c r="N176" s="32"/>
      <c r="O176" s="32"/>
      <c r="P176" s="14"/>
      <c r="Q176" s="20"/>
      <c r="R176" s="20"/>
      <c r="S176" s="2"/>
      <c r="T176" s="2"/>
      <c r="U176" s="2"/>
    </row>
    <row r="177" spans="1:21" x14ac:dyDescent="0.2">
      <c r="A177" s="14"/>
      <c r="B177" s="14"/>
      <c r="C177" s="32"/>
      <c r="D177" s="32"/>
      <c r="E177" s="32"/>
      <c r="F177" s="32"/>
      <c r="G177" s="32"/>
      <c r="H177" s="32"/>
      <c r="I177" s="32"/>
      <c r="J177" s="32"/>
      <c r="K177" s="32"/>
      <c r="L177" s="32"/>
      <c r="M177" s="32"/>
      <c r="N177" s="32"/>
      <c r="O177" s="32"/>
      <c r="P177" s="14"/>
      <c r="Q177" s="20"/>
      <c r="R177" s="20"/>
      <c r="S177" s="2"/>
      <c r="T177" s="2"/>
      <c r="U177" s="2"/>
    </row>
    <row r="178" spans="1:21" ht="19" x14ac:dyDescent="0.25">
      <c r="A178" s="35" t="s">
        <v>30</v>
      </c>
      <c r="B178" s="14"/>
      <c r="C178" s="32"/>
      <c r="D178" s="32"/>
      <c r="E178" s="32"/>
      <c r="F178" s="32"/>
      <c r="G178" s="32"/>
      <c r="H178" s="32"/>
      <c r="I178" s="32"/>
      <c r="J178" s="32"/>
      <c r="K178" s="32"/>
      <c r="L178" s="32"/>
      <c r="M178" s="32"/>
      <c r="N178" s="32"/>
      <c r="O178" s="32"/>
      <c r="P178" s="14"/>
      <c r="Q178" s="20"/>
      <c r="R178" s="20"/>
      <c r="S178" s="2"/>
      <c r="T178" s="2"/>
      <c r="U178" s="2"/>
    </row>
    <row r="179" spans="1:21" x14ac:dyDescent="0.2">
      <c r="A179" s="36"/>
      <c r="B179" s="14"/>
      <c r="C179" s="32"/>
      <c r="D179" s="32"/>
      <c r="E179" s="32"/>
      <c r="F179" s="32"/>
      <c r="G179" s="32"/>
      <c r="H179" s="32"/>
      <c r="I179" s="32"/>
      <c r="J179" s="32"/>
      <c r="K179" s="32"/>
      <c r="L179" s="32"/>
      <c r="M179" s="32"/>
      <c r="N179" s="32"/>
      <c r="O179" s="32"/>
      <c r="P179" s="14"/>
      <c r="Q179" s="20"/>
      <c r="R179" s="20"/>
      <c r="S179" s="2"/>
      <c r="T179" s="2"/>
      <c r="U179" s="2"/>
    </row>
    <row r="180" spans="1:21" x14ac:dyDescent="0.2">
      <c r="A180" s="19" t="s">
        <v>49</v>
      </c>
      <c r="B180" s="14" t="s">
        <v>290</v>
      </c>
      <c r="C180" s="28">
        <f>[1]ALNS!Z347</f>
        <v>66252.53</v>
      </c>
      <c r="D180" s="28">
        <f>[1]ALNS!AA347</f>
        <v>66252.53</v>
      </c>
      <c r="E180" s="29">
        <f>[1]ALNS!AD347</f>
        <v>0</v>
      </c>
      <c r="F180" s="28">
        <f>[1]ALNS!AE347</f>
        <v>28.357999999999997</v>
      </c>
      <c r="G180" s="28">
        <f>'[1]PFB tests'!F179</f>
        <v>66252.528055000002</v>
      </c>
      <c r="H180" s="28">
        <f>'[1]PFB tests'!G179</f>
        <v>29.255424334012702</v>
      </c>
      <c r="I180" s="30">
        <f t="shared" ref="I180:I185" si="47">(C180-G180)/G180</f>
        <v>2.9357370253482959E-8</v>
      </c>
      <c r="J180" s="30">
        <f>(F180-H180)/H180</f>
        <v>-3.0675485125995883E-2</v>
      </c>
      <c r="K180" s="28">
        <f>'[1]Gurobi tests'!F175</f>
        <v>66252.527999999904</v>
      </c>
      <c r="L180" s="32">
        <f>'[1]Gurobi tests'!G175</f>
        <v>323.48</v>
      </c>
      <c r="M180" s="29">
        <f>'[1]Gurobi tests'!H175/100</f>
        <v>0</v>
      </c>
      <c r="N180" s="29">
        <f>(C180-K180)/K180</f>
        <v>3.0187528768636654E-8</v>
      </c>
      <c r="O180" s="29">
        <f t="shared" ref="O180:O185" si="48">(F180-L180)/L180</f>
        <v>-0.91233461110424141</v>
      </c>
      <c r="P180" s="14"/>
      <c r="Q180" s="20"/>
      <c r="R180" s="20"/>
      <c r="S180" s="2"/>
      <c r="T180" s="2"/>
      <c r="U180" s="2"/>
    </row>
    <row r="181" spans="1:21" x14ac:dyDescent="0.2">
      <c r="A181" s="19" t="s">
        <v>50</v>
      </c>
      <c r="B181" s="14" t="s">
        <v>290</v>
      </c>
      <c r="C181" s="28">
        <f>[1]ALNS!Z348</f>
        <v>107812.58</v>
      </c>
      <c r="D181" s="28">
        <f>[1]ALNS!AA348</f>
        <v>107812.58</v>
      </c>
      <c r="E181" s="29">
        <f>[1]ALNS!AD348</f>
        <v>0</v>
      </c>
      <c r="F181" s="28">
        <f>[1]ALNS!AE348</f>
        <v>42.006</v>
      </c>
      <c r="G181" s="28">
        <f>'[1]PFB tests'!F180</f>
        <v>109896.624164999</v>
      </c>
      <c r="H181" s="28">
        <f>'[1]PFB tests'!G180</f>
        <v>41.973053125009699</v>
      </c>
      <c r="I181" s="30">
        <f t="shared" si="47"/>
        <v>-1.8963677736542731E-2</v>
      </c>
      <c r="J181" s="30">
        <f t="shared" ref="J181:J185" si="49">(F181-H181)/H181</f>
        <v>7.8495302431716668E-4</v>
      </c>
      <c r="K181" s="28">
        <f>'[1]Gurobi tests'!F176</f>
        <v>107812.584</v>
      </c>
      <c r="L181" s="32">
        <f>'[1]Gurobi tests'!G176</f>
        <v>754.13</v>
      </c>
      <c r="M181" s="29">
        <f>'[1]Gurobi tests'!H176/100</f>
        <v>0</v>
      </c>
      <c r="N181" s="29">
        <f>(C181-K181)/K181</f>
        <v>-3.7101420376075089E-8</v>
      </c>
      <c r="O181" s="29">
        <f t="shared" si="48"/>
        <v>-0.94429872833596329</v>
      </c>
      <c r="P181" s="14"/>
      <c r="Q181" s="20"/>
      <c r="R181" s="20"/>
      <c r="S181" s="2"/>
      <c r="T181" s="2"/>
      <c r="U181" s="2"/>
    </row>
    <row r="182" spans="1:21" x14ac:dyDescent="0.2">
      <c r="A182" s="19" t="s">
        <v>51</v>
      </c>
      <c r="B182" s="14" t="s">
        <v>290</v>
      </c>
      <c r="C182" s="28">
        <f>[1]ALNS!Z349</f>
        <v>158424.91</v>
      </c>
      <c r="D182" s="28">
        <f>[1]ALNS!AA349</f>
        <v>158424.91</v>
      </c>
      <c r="E182" s="29">
        <f>[1]ALNS!AD349</f>
        <v>0</v>
      </c>
      <c r="F182" s="28">
        <f>[1]ALNS!AE349</f>
        <v>56.177999999999997</v>
      </c>
      <c r="G182" s="28">
        <f>'[1]PFB tests'!F181</f>
        <v>162528.73216499999</v>
      </c>
      <c r="H182" s="28">
        <f>'[1]PFB tests'!G181</f>
        <v>46.426576291996703</v>
      </c>
      <c r="I182" s="30">
        <f t="shared" si="47"/>
        <v>-2.5249825740557487E-2</v>
      </c>
      <c r="J182" s="30">
        <f t="shared" si="49"/>
        <v>0.21003969034185069</v>
      </c>
      <c r="K182" s="28">
        <f>'[1]Gurobi tests'!F177</f>
        <v>162547.49940205601</v>
      </c>
      <c r="L182" s="32">
        <f>'[1]Gurobi tests'!G177</f>
        <v>3709.13</v>
      </c>
      <c r="M182" s="29">
        <f>'[1]Gurobi tests'!H177/100</f>
        <v>0.32059738175629499</v>
      </c>
      <c r="N182" s="29">
        <f>(C182-K182)/K182</f>
        <v>-2.5362367413963815E-2</v>
      </c>
      <c r="O182" s="29">
        <f t="shared" si="48"/>
        <v>-0.98485413021382373</v>
      </c>
      <c r="P182" s="14"/>
      <c r="Q182" s="20"/>
      <c r="R182" s="20"/>
      <c r="S182" s="2"/>
      <c r="T182" s="2"/>
      <c r="U182" s="2"/>
    </row>
    <row r="183" spans="1:21" x14ac:dyDescent="0.2">
      <c r="A183" s="19" t="s">
        <v>52</v>
      </c>
      <c r="B183" s="14" t="s">
        <v>290</v>
      </c>
      <c r="C183" s="28">
        <f>[1]ALNS!Z350</f>
        <v>170487.46</v>
      </c>
      <c r="D183" s="28">
        <f>[1]ALNS!AA350</f>
        <v>170487.46</v>
      </c>
      <c r="E183" s="29">
        <f>[1]ALNS!AD350</f>
        <v>0</v>
      </c>
      <c r="F183" s="28">
        <f>[1]ALNS!AE350</f>
        <v>78.037999999999997</v>
      </c>
      <c r="G183" s="28">
        <f>'[1]PFB tests'!F182</f>
        <v>172260.51616499899</v>
      </c>
      <c r="H183" s="28">
        <f>'[1]PFB tests'!G182</f>
        <v>59.920213874996897</v>
      </c>
      <c r="I183" s="30">
        <f t="shared" si="47"/>
        <v>-1.0292876188183968E-2</v>
      </c>
      <c r="J183" s="30">
        <f t="shared" si="49"/>
        <v>0.30236517784799111</v>
      </c>
      <c r="K183" s="28">
        <f>'[1]Gurobi tests'!F178</f>
        <v>182244.85538369301</v>
      </c>
      <c r="L183" s="32">
        <f>'[1]Gurobi tests'!G178</f>
        <v>3752.69</v>
      </c>
      <c r="M183" s="29">
        <f>'[1]Gurobi tests'!H178/100</f>
        <v>0.50334592220652397</v>
      </c>
      <c r="N183" s="29">
        <f>(C183-K183)/K183</f>
        <v>-6.4514278655160601E-2</v>
      </c>
      <c r="O183" s="29">
        <f t="shared" si="48"/>
        <v>-0.97920478376844344</v>
      </c>
      <c r="P183" s="14"/>
      <c r="Q183" s="20"/>
      <c r="R183" s="20"/>
      <c r="S183" s="19"/>
      <c r="T183" s="2"/>
      <c r="U183" s="2"/>
    </row>
    <row r="184" spans="1:21" ht="17" x14ac:dyDescent="0.2">
      <c r="A184" s="19" t="s">
        <v>53</v>
      </c>
      <c r="B184" s="14" t="s">
        <v>290</v>
      </c>
      <c r="C184" s="28">
        <f>[1]ALNS!Z351</f>
        <v>217556.26</v>
      </c>
      <c r="D184" s="28">
        <f>[1]ALNS!AA351</f>
        <v>217556.26</v>
      </c>
      <c r="E184" s="29">
        <f>[1]ALNS!AD351</f>
        <v>0</v>
      </c>
      <c r="F184" s="28">
        <f>[1]ALNS!AE351</f>
        <v>85.328000000000003</v>
      </c>
      <c r="G184" s="28">
        <f>'[1]PFB tests'!F183</f>
        <v>220398.312275</v>
      </c>
      <c r="H184" s="28">
        <f>'[1]PFB tests'!G183</f>
        <v>333.24423612499902</v>
      </c>
      <c r="I184" s="30">
        <f t="shared" si="47"/>
        <v>-1.2895072769222703E-2</v>
      </c>
      <c r="J184" s="30">
        <f t="shared" si="49"/>
        <v>-0.74394755932704659</v>
      </c>
      <c r="K184" s="28" t="str">
        <f>'[1]Gurobi tests'!F179</f>
        <v>Infeasible</v>
      </c>
      <c r="L184" s="32">
        <f>'[1]Gurobi tests'!G179</f>
        <v>3846.33</v>
      </c>
      <c r="M184" s="29" t="s">
        <v>32</v>
      </c>
      <c r="N184" s="29" t="s">
        <v>32</v>
      </c>
      <c r="O184" s="29">
        <f t="shared" si="48"/>
        <v>-0.9778157360392894</v>
      </c>
      <c r="P184" s="14"/>
      <c r="Q184" s="20"/>
      <c r="R184" s="20"/>
      <c r="S184" s="2"/>
      <c r="T184" s="2"/>
      <c r="U184" s="2"/>
    </row>
    <row r="185" spans="1:21" ht="17" x14ac:dyDescent="0.2">
      <c r="A185" s="19" t="s">
        <v>54</v>
      </c>
      <c r="B185" s="14" t="s">
        <v>290</v>
      </c>
      <c r="C185" s="28">
        <f>[1]ALNS!Z352</f>
        <v>227343.35999999996</v>
      </c>
      <c r="D185" s="28">
        <f>[1]ALNS!AA352</f>
        <v>227343.35999999999</v>
      </c>
      <c r="E185" s="29">
        <f>[1]ALNS!AD352</f>
        <v>1.4312743355883658E-16</v>
      </c>
      <c r="F185" s="28">
        <f>[1]ALNS!AE352</f>
        <v>82.364000000000004</v>
      </c>
      <c r="G185" s="28">
        <f>'[1]PFB tests'!F184</f>
        <v>230733.948275</v>
      </c>
      <c r="H185" s="28">
        <f>'[1]PFB tests'!G184</f>
        <v>259.62524095899403</v>
      </c>
      <c r="I185" s="30">
        <f t="shared" si="47"/>
        <v>-1.4694795890888915E-2</v>
      </c>
      <c r="J185" s="30">
        <f t="shared" si="49"/>
        <v>-0.68275811821775523</v>
      </c>
      <c r="K185" s="28" t="str">
        <f>'[1]Gurobi tests'!F180</f>
        <v>Infeasible</v>
      </c>
      <c r="L185" s="32">
        <f>'[1]Gurobi tests'!G180</f>
        <v>3907.41</v>
      </c>
      <c r="M185" s="29" t="s">
        <v>32</v>
      </c>
      <c r="N185" s="32" t="s">
        <v>32</v>
      </c>
      <c r="O185" s="29">
        <f t="shared" si="48"/>
        <v>-0.97892107559739061</v>
      </c>
      <c r="P185" s="14"/>
      <c r="Q185" s="20"/>
      <c r="R185" s="20"/>
      <c r="S185" s="2"/>
      <c r="T185" s="2"/>
      <c r="U185" s="2"/>
    </row>
    <row r="186" spans="1:21" ht="17" x14ac:dyDescent="0.2">
      <c r="A186" s="19" t="s">
        <v>55</v>
      </c>
      <c r="B186" s="14" t="s">
        <v>290</v>
      </c>
      <c r="C186" s="28">
        <f>[1]ALNS!Z353</f>
        <v>284257.65999999997</v>
      </c>
      <c r="D186" s="28">
        <f>[1]ALNS!AA353</f>
        <v>284055.59999999998</v>
      </c>
      <c r="E186" s="29">
        <f>[1]ALNS!AD353</f>
        <v>5.8430778953022251E-4</v>
      </c>
      <c r="F186" s="28">
        <f>[1]ALNS!AE353</f>
        <v>157.91</v>
      </c>
      <c r="G186" s="28" t="str">
        <f>'[1]PFB tests'!F185</f>
        <v>Infeasible</v>
      </c>
      <c r="H186" s="28" t="s">
        <v>32</v>
      </c>
      <c r="I186" s="30" t="s">
        <v>32</v>
      </c>
      <c r="J186" s="30" t="s">
        <v>32</v>
      </c>
      <c r="K186" s="58" t="s">
        <v>15</v>
      </c>
      <c r="L186" s="58" t="s">
        <v>32</v>
      </c>
      <c r="M186" s="59" t="s">
        <v>32</v>
      </c>
      <c r="N186" s="59" t="s">
        <v>32</v>
      </c>
      <c r="O186" s="32" t="s">
        <v>32</v>
      </c>
      <c r="P186" s="14"/>
      <c r="Q186" s="20"/>
      <c r="R186" s="20"/>
      <c r="S186" s="2"/>
      <c r="T186" s="2"/>
      <c r="U186" s="2"/>
    </row>
    <row r="187" spans="1:21" ht="17" x14ac:dyDescent="0.2">
      <c r="A187" s="19" t="s">
        <v>56</v>
      </c>
      <c r="B187" s="14" t="s">
        <v>290</v>
      </c>
      <c r="C187" s="28">
        <f>[1]ALNS!Z354</f>
        <v>340451.94800000003</v>
      </c>
      <c r="D187" s="28">
        <f>[1]ALNS!AA354</f>
        <v>340416.62</v>
      </c>
      <c r="E187" s="29">
        <f>[1]ALNS!AD354</f>
        <v>1.4209011451701281E-4</v>
      </c>
      <c r="F187" s="28">
        <f>[1]ALNS!AE354</f>
        <v>196.238</v>
      </c>
      <c r="G187" s="28" t="str">
        <f>'[1]PFB tests'!F186</f>
        <v>Infeasible</v>
      </c>
      <c r="H187" s="28" t="s">
        <v>32</v>
      </c>
      <c r="I187" s="30" t="s">
        <v>32</v>
      </c>
      <c r="J187" s="30" t="s">
        <v>32</v>
      </c>
      <c r="K187" s="58" t="s">
        <v>15</v>
      </c>
      <c r="L187" s="58" t="s">
        <v>32</v>
      </c>
      <c r="M187" s="59" t="s">
        <v>32</v>
      </c>
      <c r="N187" s="59" t="s">
        <v>32</v>
      </c>
      <c r="O187" s="32" t="s">
        <v>32</v>
      </c>
      <c r="P187" s="14"/>
      <c r="Q187" s="20"/>
      <c r="R187" s="20"/>
      <c r="S187" s="2"/>
      <c r="T187" s="2"/>
      <c r="U187" s="2"/>
    </row>
    <row r="188" spans="1:21" ht="17" x14ac:dyDescent="0.2">
      <c r="A188" s="19" t="s">
        <v>57</v>
      </c>
      <c r="B188" s="14" t="s">
        <v>290</v>
      </c>
      <c r="C188" s="28">
        <f>[1]ALNS!Z355</f>
        <v>345712.49599999993</v>
      </c>
      <c r="D188" s="28">
        <f>[1]ALNS!AA355</f>
        <v>345573.41</v>
      </c>
      <c r="E188" s="29">
        <f>[1]ALNS!AD355</f>
        <v>3.6726345597664283E-4</v>
      </c>
      <c r="F188" s="28">
        <f>[1]ALNS!AE355</f>
        <v>163.34399999999999</v>
      </c>
      <c r="G188" s="58" t="s">
        <v>15</v>
      </c>
      <c r="H188" s="58" t="s">
        <v>32</v>
      </c>
      <c r="I188" s="59" t="s">
        <v>32</v>
      </c>
      <c r="J188" s="59" t="s">
        <v>32</v>
      </c>
      <c r="K188" s="58" t="s">
        <v>15</v>
      </c>
      <c r="L188" s="58" t="s">
        <v>32</v>
      </c>
      <c r="M188" s="59" t="s">
        <v>32</v>
      </c>
      <c r="N188" s="59" t="s">
        <v>32</v>
      </c>
      <c r="O188" s="32" t="s">
        <v>32</v>
      </c>
      <c r="P188" s="14"/>
      <c r="Q188" s="20"/>
      <c r="R188" s="20"/>
      <c r="S188" s="2"/>
      <c r="T188" s="2"/>
      <c r="U188" s="2"/>
    </row>
    <row r="189" spans="1:21" ht="17" x14ac:dyDescent="0.2">
      <c r="A189" s="19" t="s">
        <v>58</v>
      </c>
      <c r="B189" s="14" t="s">
        <v>290</v>
      </c>
      <c r="C189" s="28">
        <f>[1]ALNS!Z356</f>
        <v>369176.89399999997</v>
      </c>
      <c r="D189" s="28">
        <f>[1]ALNS!AA356</f>
        <v>367097.02</v>
      </c>
      <c r="E189" s="29">
        <f>[1]ALNS!AD356</f>
        <v>3.4630134200539305E-3</v>
      </c>
      <c r="F189" s="28">
        <f>[1]ALNS!AE356</f>
        <v>169.94800000000004</v>
      </c>
      <c r="G189" s="58" t="s">
        <v>15</v>
      </c>
      <c r="H189" s="58" t="s">
        <v>32</v>
      </c>
      <c r="I189" s="59" t="s">
        <v>32</v>
      </c>
      <c r="J189" s="59" t="s">
        <v>32</v>
      </c>
      <c r="K189" s="58" t="s">
        <v>15</v>
      </c>
      <c r="L189" s="58" t="s">
        <v>32</v>
      </c>
      <c r="M189" s="59" t="s">
        <v>32</v>
      </c>
      <c r="N189" s="59" t="s">
        <v>32</v>
      </c>
      <c r="O189" s="32" t="s">
        <v>32</v>
      </c>
      <c r="P189" s="14"/>
      <c r="Q189" s="20"/>
      <c r="R189" s="20"/>
      <c r="S189" s="2"/>
      <c r="T189" s="2"/>
      <c r="U189" s="2"/>
    </row>
    <row r="190" spans="1:21" x14ac:dyDescent="0.2">
      <c r="A190" s="14"/>
      <c r="B190" s="14"/>
      <c r="C190" s="28"/>
      <c r="D190" s="28"/>
      <c r="E190" s="29"/>
      <c r="F190" s="28"/>
      <c r="G190" s="32"/>
      <c r="H190" s="32"/>
      <c r="I190" s="31"/>
      <c r="J190" s="30"/>
      <c r="K190" s="32"/>
      <c r="L190" s="32"/>
      <c r="M190" s="32"/>
      <c r="N190" s="32"/>
      <c r="O190" s="32"/>
      <c r="P190" s="14"/>
      <c r="Q190" s="20"/>
      <c r="R190" s="20"/>
      <c r="S190" s="2"/>
      <c r="T190" s="2"/>
      <c r="U190" s="2"/>
    </row>
    <row r="191" spans="1:21" x14ac:dyDescent="0.2">
      <c r="A191" s="19" t="s">
        <v>59</v>
      </c>
      <c r="B191" s="14" t="s">
        <v>290</v>
      </c>
      <c r="C191" s="28">
        <f>[1]ALNS!Z358</f>
        <v>83395.989999999991</v>
      </c>
      <c r="D191" s="28">
        <f>[1]ALNS!AA358</f>
        <v>82624.59</v>
      </c>
      <c r="E191" s="29">
        <f>[1]ALNS!AD358</f>
        <v>1.2665872209787462E-2</v>
      </c>
      <c r="F191" s="28">
        <f>[1]ALNS!AE358</f>
        <v>29.47</v>
      </c>
      <c r="G191" s="28">
        <f>'[1]PFB tests'!F190</f>
        <v>82624.588249999899</v>
      </c>
      <c r="H191" s="28">
        <f>'[1]PFB tests'!G190</f>
        <v>33.045729499994103</v>
      </c>
      <c r="I191" s="30">
        <f>(C191-G191)/G191</f>
        <v>9.3362250431558765E-3</v>
      </c>
      <c r="J191" s="30">
        <f>(F191-H191)/H191</f>
        <v>-0.10820549444958515</v>
      </c>
      <c r="K191" s="28">
        <f>'[1]Gurobi tests'!F183</f>
        <v>82624.588250017405</v>
      </c>
      <c r="L191" s="32">
        <f>'[1]Gurobi tests'!G183</f>
        <v>1453.72</v>
      </c>
      <c r="M191" s="29">
        <f>'[1]Gurobi tests'!H183/100</f>
        <v>0</v>
      </c>
      <c r="N191" s="29">
        <f>(C191-K191)/K191</f>
        <v>9.336225042942025E-3</v>
      </c>
      <c r="O191" s="29">
        <f>(F191-L191)/L191</f>
        <v>-0.97972787056654653</v>
      </c>
      <c r="P191" s="14"/>
      <c r="Q191" s="20"/>
      <c r="R191" s="20"/>
      <c r="S191" s="2"/>
      <c r="T191" s="2"/>
      <c r="U191" s="2"/>
    </row>
    <row r="192" spans="1:21" x14ac:dyDescent="0.2">
      <c r="A192" s="19" t="s">
        <v>60</v>
      </c>
      <c r="B192" s="14" t="s">
        <v>290</v>
      </c>
      <c r="C192" s="28">
        <f>[1]ALNS!Z359</f>
        <v>139967.40600000002</v>
      </c>
      <c r="D192" s="28">
        <f>[1]ALNS!AA359</f>
        <v>139446.84</v>
      </c>
      <c r="E192" s="29">
        <f>[1]ALNS!AD359</f>
        <v>3.3951444961197999E-3</v>
      </c>
      <c r="F192" s="28">
        <f>[1]ALNS!AE359</f>
        <v>43.21</v>
      </c>
      <c r="G192" s="28">
        <f>'[1]PFB tests'!F191</f>
        <v>146353.88075000001</v>
      </c>
      <c r="H192" s="28">
        <f>'[1]PFB tests'!G191</f>
        <v>65.490240416998802</v>
      </c>
      <c r="I192" s="30">
        <f t="shared" ref="I192:I197" si="50">(C192-G192)/G192</f>
        <v>-4.3637208096376313E-2</v>
      </c>
      <c r="J192" s="30">
        <f t="shared" ref="J192:J197" si="51">(F192-H192)/H192</f>
        <v>-0.34020703352335974</v>
      </c>
      <c r="K192" s="28">
        <f>'[1]Gurobi tests'!F184</f>
        <v>169057.68532509799</v>
      </c>
      <c r="L192" s="32">
        <f>'[1]Gurobi tests'!G184</f>
        <v>3661.22</v>
      </c>
      <c r="M192" s="22">
        <f>'[1]Gurobi tests'!H184/100</f>
        <v>0.58256862274365806</v>
      </c>
      <c r="N192" s="29">
        <f>(C192-K192)/K192</f>
        <v>-0.17207309605095655</v>
      </c>
      <c r="O192" s="29">
        <f>(F192-L192)/L192</f>
        <v>-0.98819792309667265</v>
      </c>
      <c r="P192" s="14"/>
      <c r="Q192" s="20"/>
      <c r="R192" s="20"/>
      <c r="S192" s="2"/>
      <c r="T192" s="2"/>
      <c r="U192" s="2"/>
    </row>
    <row r="193" spans="1:21" ht="17" x14ac:dyDescent="0.2">
      <c r="A193" s="19" t="s">
        <v>61</v>
      </c>
      <c r="B193" s="14" t="s">
        <v>290</v>
      </c>
      <c r="C193" s="28">
        <f>[1]ALNS!Z360</f>
        <v>210228.77599999998</v>
      </c>
      <c r="D193" s="28">
        <f>[1]ALNS!AA360</f>
        <v>210195.63</v>
      </c>
      <c r="E193" s="29">
        <f>[1]ALNS!AD360</f>
        <v>3.5255263619191556E-4</v>
      </c>
      <c r="F193" s="28">
        <f>[1]ALNS!AE360</f>
        <v>71.435999999999993</v>
      </c>
      <c r="G193" s="28">
        <f>'[1]PFB tests'!F192</f>
        <v>216809.12899999999</v>
      </c>
      <c r="H193" s="28">
        <f>'[1]PFB tests'!G192</f>
        <v>56.166258999990497</v>
      </c>
      <c r="I193" s="30">
        <f t="shared" si="50"/>
        <v>-3.0350903720479425E-2</v>
      </c>
      <c r="J193" s="30">
        <f t="shared" si="51"/>
        <v>0.27186679817881548</v>
      </c>
      <c r="K193" s="28" t="str">
        <f>'[1]Gurobi tests'!F185</f>
        <v>Infeasible</v>
      </c>
      <c r="L193" s="32">
        <f>'[1]Gurobi tests'!G185</f>
        <v>3707.69</v>
      </c>
      <c r="M193" s="22" t="s">
        <v>32</v>
      </c>
      <c r="N193" s="29" t="s">
        <v>32</v>
      </c>
      <c r="O193" s="29">
        <f>(F193-L193)/L193</f>
        <v>-0.98073301705374505</v>
      </c>
      <c r="P193" s="14"/>
      <c r="Q193" s="20"/>
      <c r="R193" s="20"/>
      <c r="S193" s="2"/>
      <c r="T193" s="2"/>
      <c r="U193" s="2"/>
    </row>
    <row r="194" spans="1:21" ht="17" x14ac:dyDescent="0.2">
      <c r="A194" s="19" t="s">
        <v>62</v>
      </c>
      <c r="B194" s="14" t="s">
        <v>290</v>
      </c>
      <c r="C194" s="28">
        <f>[1]ALNS!Z361</f>
        <v>228084.86800000002</v>
      </c>
      <c r="D194" s="28">
        <f>[1]ALNS!AA361</f>
        <v>227586.63</v>
      </c>
      <c r="E194" s="29">
        <f>[1]ALNS!AD361</f>
        <v>3.3348930842394468E-3</v>
      </c>
      <c r="F194" s="28">
        <f>[1]ALNS!AE361</f>
        <v>101.054</v>
      </c>
      <c r="G194" s="28">
        <f>'[1]PFB tests'!F193</f>
        <v>232596.570249999</v>
      </c>
      <c r="H194" s="28">
        <f>'[1]PFB tests'!G193</f>
        <v>136.55128570800201</v>
      </c>
      <c r="I194" s="30">
        <f t="shared" si="50"/>
        <v>-1.9397114261614969E-2</v>
      </c>
      <c r="J194" s="30">
        <f t="shared" si="51"/>
        <v>-0.2599557047299324</v>
      </c>
      <c r="K194" s="28" t="str">
        <f>'[1]Gurobi tests'!F186</f>
        <v>Infeasible</v>
      </c>
      <c r="L194" s="32">
        <f>'[1]Gurobi tests'!G186</f>
        <v>3754.78</v>
      </c>
      <c r="M194" s="22" t="s">
        <v>32</v>
      </c>
      <c r="N194" s="29" t="s">
        <v>32</v>
      </c>
      <c r="O194" s="29">
        <f>(F194-L194)/L194</f>
        <v>-0.97308657231582141</v>
      </c>
      <c r="P194" s="14"/>
      <c r="Q194" s="20"/>
      <c r="R194" s="20"/>
      <c r="S194" s="2"/>
      <c r="T194" s="2"/>
      <c r="U194" s="2"/>
    </row>
    <row r="195" spans="1:21" ht="17" x14ac:dyDescent="0.2">
      <c r="A195" s="19" t="s">
        <v>63</v>
      </c>
      <c r="B195" s="14" t="s">
        <v>290</v>
      </c>
      <c r="C195" s="28">
        <f>[1]ALNS!Z362</f>
        <v>296939.41000000003</v>
      </c>
      <c r="D195" s="28">
        <f>[1]ALNS!AA362</f>
        <v>295979</v>
      </c>
      <c r="E195" s="29">
        <f>[1]ALNS!AD362</f>
        <v>2.4888435011755257E-3</v>
      </c>
      <c r="F195" s="28">
        <f>[1]ALNS!AE362</f>
        <v>198.75</v>
      </c>
      <c r="G195" s="28">
        <f>'[1]PFB tests'!F194</f>
        <v>304848.95849999902</v>
      </c>
      <c r="H195" s="28">
        <f>'[1]PFB tests'!G194</f>
        <v>298.80562108399999</v>
      </c>
      <c r="I195" s="30">
        <f t="shared" si="50"/>
        <v>-2.5945794727059931E-2</v>
      </c>
      <c r="J195" s="30">
        <f t="shared" si="51"/>
        <v>-0.33485187032633645</v>
      </c>
      <c r="K195" s="28" t="str">
        <f>'[1]Gurobi tests'!F187</f>
        <v>Infeasible</v>
      </c>
      <c r="L195" s="32">
        <f>'[1]Gurobi tests'!G187</f>
        <v>3843.24</v>
      </c>
      <c r="M195" s="22" t="s">
        <v>32</v>
      </c>
      <c r="N195" s="29" t="s">
        <v>32</v>
      </c>
      <c r="O195" s="29">
        <f>(F195-L195)/L195</f>
        <v>-0.9482858213382459</v>
      </c>
      <c r="P195" s="14"/>
      <c r="Q195" s="20"/>
      <c r="R195" s="20"/>
      <c r="S195" s="2"/>
      <c r="T195" s="2"/>
      <c r="U195" s="2"/>
    </row>
    <row r="196" spans="1:21" ht="17" x14ac:dyDescent="0.2">
      <c r="A196" s="19" t="s">
        <v>64</v>
      </c>
      <c r="B196" s="14" t="s">
        <v>290</v>
      </c>
      <c r="C196" s="28">
        <f>[1]ALNS!Z363</f>
        <v>310734.29399999994</v>
      </c>
      <c r="D196" s="28">
        <f>[1]ALNS!AA363</f>
        <v>310538.86</v>
      </c>
      <c r="E196" s="29">
        <f>[1]ALNS!AD363</f>
        <v>8.8449787960002176E-4</v>
      </c>
      <c r="F196" s="28">
        <f>[1]ALNS!AE363</f>
        <v>190.57600000000002</v>
      </c>
      <c r="G196" s="28">
        <f>'[1]PFB tests'!F195</f>
        <v>317000.59849999897</v>
      </c>
      <c r="H196" s="28">
        <f>'[1]PFB tests'!G195</f>
        <v>686.34032979200094</v>
      </c>
      <c r="I196" s="30">
        <f t="shared" si="50"/>
        <v>-1.9767484760755297E-2</v>
      </c>
      <c r="J196" s="30">
        <f t="shared" si="51"/>
        <v>-0.72233017392733556</v>
      </c>
      <c r="K196" s="58" t="s">
        <v>15</v>
      </c>
      <c r="L196" s="58" t="s">
        <v>32</v>
      </c>
      <c r="M196" s="59" t="s">
        <v>32</v>
      </c>
      <c r="N196" s="59" t="s">
        <v>32</v>
      </c>
      <c r="O196" s="29" t="s">
        <v>32</v>
      </c>
      <c r="P196" s="14"/>
      <c r="Q196" s="20"/>
      <c r="R196" s="20"/>
      <c r="S196" s="2"/>
      <c r="T196" s="2"/>
      <c r="U196" s="2"/>
    </row>
    <row r="197" spans="1:21" ht="17" x14ac:dyDescent="0.2">
      <c r="A197" s="19" t="s">
        <v>65</v>
      </c>
      <c r="B197" s="14" t="s">
        <v>290</v>
      </c>
      <c r="C197" s="28">
        <f>[1]ALNS!Z364</f>
        <v>385511.64</v>
      </c>
      <c r="D197" s="28">
        <f>[1]ALNS!AA364</f>
        <v>384933.8</v>
      </c>
      <c r="E197" s="29">
        <f>[1]ALNS!AD364</f>
        <v>3.3516225868523283E-3</v>
      </c>
      <c r="F197" s="28">
        <f>[1]ALNS!AE364</f>
        <v>334.18799999999999</v>
      </c>
      <c r="G197" s="28">
        <f>'[1]PFB tests'!F196</f>
        <v>401528.17274999898</v>
      </c>
      <c r="H197" s="28">
        <f>'[1]PFB tests'!G196</f>
        <v>2283.9428469999898</v>
      </c>
      <c r="I197" s="30">
        <f t="shared" si="50"/>
        <v>-3.9888938901358834E-2</v>
      </c>
      <c r="J197" s="30">
        <f t="shared" si="51"/>
        <v>-0.85367935084760826</v>
      </c>
      <c r="K197" s="58" t="s">
        <v>15</v>
      </c>
      <c r="L197" s="58" t="s">
        <v>32</v>
      </c>
      <c r="M197" s="59" t="s">
        <v>32</v>
      </c>
      <c r="N197" s="59" t="s">
        <v>32</v>
      </c>
      <c r="O197" s="32" t="s">
        <v>32</v>
      </c>
      <c r="P197" s="14"/>
      <c r="Q197" s="20"/>
      <c r="R197" s="20"/>
      <c r="S197" s="2"/>
      <c r="T197" s="2"/>
      <c r="U197" s="2"/>
    </row>
    <row r="198" spans="1:21" ht="17" x14ac:dyDescent="0.2">
      <c r="A198" s="19" t="s">
        <v>66</v>
      </c>
      <c r="B198" s="14" t="s">
        <v>290</v>
      </c>
      <c r="C198" s="28">
        <f>[1]ALNS!Z365</f>
        <v>447261.07799999992</v>
      </c>
      <c r="D198" s="28">
        <f>[1]ALNS!AA365</f>
        <v>446772.78</v>
      </c>
      <c r="E198" s="29">
        <f>[1]ALNS!AD365</f>
        <v>1.1048367518501877E-3</v>
      </c>
      <c r="F198" s="28">
        <f>[1]ALNS!AE365</f>
        <v>496.76399999999995</v>
      </c>
      <c r="G198" s="28" t="str">
        <f>'[1]PFB tests'!F197</f>
        <v>Infeasible</v>
      </c>
      <c r="H198" s="28" t="str">
        <f>'[1]PFB tests'!G197</f>
        <v>-</v>
      </c>
      <c r="I198" s="30" t="s">
        <v>32</v>
      </c>
      <c r="J198" s="30" t="s">
        <v>32</v>
      </c>
      <c r="K198" s="58" t="s">
        <v>15</v>
      </c>
      <c r="L198" s="58" t="s">
        <v>32</v>
      </c>
      <c r="M198" s="59" t="s">
        <v>32</v>
      </c>
      <c r="N198" s="59" t="s">
        <v>32</v>
      </c>
      <c r="O198" s="32" t="s">
        <v>32</v>
      </c>
      <c r="P198" s="14"/>
      <c r="Q198" s="20"/>
      <c r="R198" s="20"/>
      <c r="S198" s="2"/>
      <c r="T198" s="2"/>
      <c r="U198" s="2"/>
    </row>
    <row r="199" spans="1:21" ht="17" x14ac:dyDescent="0.2">
      <c r="A199" s="19" t="s">
        <v>67</v>
      </c>
      <c r="B199" s="14" t="s">
        <v>290</v>
      </c>
      <c r="C199" s="28">
        <f>[1]ALNS!Z366</f>
        <v>458585.63399999996</v>
      </c>
      <c r="D199" s="28">
        <f>[1]ALNS!AA366</f>
        <v>457477.19</v>
      </c>
      <c r="E199" s="29">
        <f>[1]ALNS!AD366</f>
        <v>1.6376875459319243E-3</v>
      </c>
      <c r="F199" s="28">
        <f>[1]ALNS!AE366</f>
        <v>513.75</v>
      </c>
      <c r="G199" s="58" t="s">
        <v>15</v>
      </c>
      <c r="H199" s="58" t="s">
        <v>32</v>
      </c>
      <c r="I199" s="59" t="s">
        <v>32</v>
      </c>
      <c r="J199" s="59" t="s">
        <v>32</v>
      </c>
      <c r="K199" s="58" t="s">
        <v>15</v>
      </c>
      <c r="L199" s="58" t="s">
        <v>32</v>
      </c>
      <c r="M199" s="59" t="s">
        <v>32</v>
      </c>
      <c r="N199" s="59" t="s">
        <v>32</v>
      </c>
      <c r="O199" s="32" t="s">
        <v>32</v>
      </c>
      <c r="P199" s="14"/>
      <c r="Q199" s="20"/>
      <c r="R199" s="20"/>
      <c r="S199" s="2"/>
      <c r="T199" s="2"/>
      <c r="U199" s="2"/>
    </row>
    <row r="200" spans="1:21" ht="17" x14ac:dyDescent="0.2">
      <c r="A200" s="19" t="s">
        <v>68</v>
      </c>
      <c r="B200" s="14" t="s">
        <v>290</v>
      </c>
      <c r="C200" s="28">
        <f>[1]ALNS!Z367</f>
        <v>483072.74199999997</v>
      </c>
      <c r="D200" s="28">
        <f>[1]ALNS!AA367</f>
        <v>482117.94</v>
      </c>
      <c r="E200" s="29">
        <f>[1]ALNS!AD367</f>
        <v>1.5577938426852851E-3</v>
      </c>
      <c r="F200" s="28">
        <f>[1]ALNS!AE367</f>
        <v>444.23799999999994</v>
      </c>
      <c r="G200" s="58" t="s">
        <v>15</v>
      </c>
      <c r="H200" s="58" t="s">
        <v>32</v>
      </c>
      <c r="I200" s="59" t="s">
        <v>32</v>
      </c>
      <c r="J200" s="59" t="s">
        <v>32</v>
      </c>
      <c r="K200" s="58" t="s">
        <v>15</v>
      </c>
      <c r="L200" s="58" t="s">
        <v>32</v>
      </c>
      <c r="M200" s="59" t="s">
        <v>32</v>
      </c>
      <c r="N200" s="59" t="s">
        <v>32</v>
      </c>
      <c r="O200" s="32" t="s">
        <v>32</v>
      </c>
      <c r="P200" s="14"/>
      <c r="Q200" s="20"/>
      <c r="R200" s="20"/>
      <c r="S200" s="2"/>
      <c r="T200" s="2"/>
      <c r="U200" s="2"/>
    </row>
    <row r="201" spans="1:21" x14ac:dyDescent="0.2">
      <c r="A201" s="14"/>
      <c r="B201" s="14"/>
      <c r="C201" s="28"/>
      <c r="D201" s="28"/>
      <c r="E201" s="29"/>
      <c r="F201" s="28"/>
      <c r="G201" s="32"/>
      <c r="H201" s="32"/>
      <c r="I201" s="30"/>
      <c r="J201" s="30"/>
      <c r="K201" s="32"/>
      <c r="L201" s="32"/>
      <c r="M201" s="32"/>
      <c r="N201" s="32"/>
      <c r="O201" s="32"/>
      <c r="P201" s="14"/>
      <c r="Q201" s="20"/>
      <c r="R201" s="20"/>
      <c r="S201" s="2"/>
      <c r="T201" s="2"/>
      <c r="U201" s="2"/>
    </row>
    <row r="202" spans="1:21" x14ac:dyDescent="0.2">
      <c r="A202" s="19" t="s">
        <v>69</v>
      </c>
      <c r="B202" s="14" t="s">
        <v>290</v>
      </c>
      <c r="C202" s="28">
        <f>[1]ALNS!Z369</f>
        <v>99459</v>
      </c>
      <c r="D202" s="28">
        <f>[1]ALNS!AA369</f>
        <v>99459</v>
      </c>
      <c r="E202" s="29">
        <f>[1]ALNS!AD369</f>
        <v>0</v>
      </c>
      <c r="F202" s="28">
        <f>[1]ALNS!AE369</f>
        <v>27.893999999999998</v>
      </c>
      <c r="G202" s="28">
        <f>'[1]PFB tests'!F201</f>
        <v>99459.003599999996</v>
      </c>
      <c r="H202" s="28">
        <f>'[1]PFB tests'!G201</f>
        <v>36.598980708003999</v>
      </c>
      <c r="I202" s="30">
        <f>(C202-G202)/G202</f>
        <v>-3.6195818036204839E-8</v>
      </c>
      <c r="J202" s="30">
        <f>(F202-H202)/H202</f>
        <v>-0.23784762689033764</v>
      </c>
      <c r="K202" s="28">
        <f>'[1]Gurobi tests'!F191</f>
        <v>101426.65429999999</v>
      </c>
      <c r="L202" s="32">
        <f>'[1]Gurobi tests'!G191</f>
        <v>3634.83</v>
      </c>
      <c r="M202" s="29">
        <f>'[1]Gurobi tests'!H191/100</f>
        <v>0.39462855894478499</v>
      </c>
      <c r="N202" s="29">
        <f>(C202-K202)/K202</f>
        <v>-1.9399775271893148E-2</v>
      </c>
      <c r="O202" s="29">
        <f>(F202-L202)/L202</f>
        <v>-0.99232591345399923</v>
      </c>
      <c r="P202" s="14"/>
      <c r="Q202" s="20"/>
      <c r="R202" s="20"/>
      <c r="S202" s="2"/>
      <c r="T202" s="2"/>
      <c r="U202" s="2"/>
    </row>
    <row r="203" spans="1:21" x14ac:dyDescent="0.2">
      <c r="A203" s="19" t="s">
        <v>70</v>
      </c>
      <c r="B203" s="14" t="s">
        <v>290</v>
      </c>
      <c r="C203" s="28">
        <f>[1]ALNS!Z370</f>
        <v>172684.83</v>
      </c>
      <c r="D203" s="28">
        <f>[1]ALNS!AA370</f>
        <v>172684.83</v>
      </c>
      <c r="E203" s="29">
        <f>[1]ALNS!AD370</f>
        <v>0</v>
      </c>
      <c r="F203" s="28">
        <f>[1]ALNS!AE370</f>
        <v>60.67</v>
      </c>
      <c r="G203" s="28">
        <f>'[1]PFB tests'!F202</f>
        <v>173287.0356</v>
      </c>
      <c r="H203" s="28">
        <f>'[1]PFB tests'!G202</f>
        <v>107.987022625005</v>
      </c>
      <c r="I203" s="30">
        <f>(C203-G203)/G203</f>
        <v>-3.4751913085413512E-3</v>
      </c>
      <c r="J203" s="30">
        <f t="shared" ref="J203:J208" si="52">(F203-H203)/H203</f>
        <v>-0.43817323114202128</v>
      </c>
      <c r="K203" s="28">
        <f>'[1]Gurobi tests'!F192</f>
        <v>175857.44594999999</v>
      </c>
      <c r="L203" s="32">
        <f>'[1]Gurobi tests'!G192</f>
        <v>3661.27</v>
      </c>
      <c r="M203" s="29">
        <f>'[1]Gurobi tests'!H192/100</f>
        <v>0.54256961008257698</v>
      </c>
      <c r="N203" s="29">
        <f>(C203-K203)/K203</f>
        <v>-1.8040839458694564E-2</v>
      </c>
      <c r="O203" s="29">
        <f>(F203-L203)/L203</f>
        <v>-0.98342924722842073</v>
      </c>
      <c r="P203" s="14"/>
      <c r="Q203" s="20"/>
      <c r="R203" s="20"/>
      <c r="S203" s="2"/>
      <c r="T203" s="2"/>
      <c r="U203" s="2"/>
    </row>
    <row r="204" spans="1:21" ht="17" x14ac:dyDescent="0.2">
      <c r="A204" s="19" t="s">
        <v>71</v>
      </c>
      <c r="B204" s="14" t="s">
        <v>290</v>
      </c>
      <c r="C204" s="28">
        <f>[1]ALNS!Z371</f>
        <v>257215.99599999998</v>
      </c>
      <c r="D204" s="28">
        <f>[1]ALNS!AA371</f>
        <v>256197.47</v>
      </c>
      <c r="E204" s="29">
        <f>[1]ALNS!AD371</f>
        <v>4.5342448021329883E-3</v>
      </c>
      <c r="F204" s="28">
        <f>[1]ALNS!AE371</f>
        <v>99.382000000000005</v>
      </c>
      <c r="G204" s="28" t="str">
        <f>'[1]PFB tests'!F203</f>
        <v>Infeasible</v>
      </c>
      <c r="H204" s="28">
        <f>'[1]PFB tests'!G203</f>
        <v>162.339861083004</v>
      </c>
      <c r="I204" s="30" t="s">
        <v>32</v>
      </c>
      <c r="J204" s="30">
        <f t="shared" si="52"/>
        <v>-0.38781517159740442</v>
      </c>
      <c r="K204" s="28" t="str">
        <f>'[1]Gurobi tests'!F193</f>
        <v>Infeasible</v>
      </c>
      <c r="L204" s="32">
        <f>'[1]Gurobi tests'!G193</f>
        <v>3709.56</v>
      </c>
      <c r="M204" s="29" t="s">
        <v>32</v>
      </c>
      <c r="N204" s="29" t="s">
        <v>32</v>
      </c>
      <c r="O204" s="29">
        <f>(F204-L204)/L204</f>
        <v>-0.97320922157883949</v>
      </c>
      <c r="P204" s="14"/>
      <c r="Q204" s="20"/>
      <c r="R204" s="20"/>
      <c r="S204" s="2"/>
      <c r="T204" s="2"/>
      <c r="U204" s="2"/>
    </row>
    <row r="205" spans="1:21" ht="17" x14ac:dyDescent="0.2">
      <c r="A205" s="19" t="s">
        <v>202</v>
      </c>
      <c r="B205" s="14" t="s">
        <v>290</v>
      </c>
      <c r="C205" s="28">
        <f>[1]ALNS!Z372</f>
        <v>278640.28599999996</v>
      </c>
      <c r="D205" s="28">
        <f>[1]ALNS!AA372</f>
        <v>277692.62</v>
      </c>
      <c r="E205" s="29">
        <f>[1]ALNS!AD372</f>
        <v>2.0876150198915139E-3</v>
      </c>
      <c r="F205" s="28">
        <f>[1]ALNS!AE372</f>
        <v>229.62399999999997</v>
      </c>
      <c r="G205" s="28" t="str">
        <f>'[1]PFB tests'!F204</f>
        <v>Infeasible</v>
      </c>
      <c r="H205" s="28">
        <f>'[1]PFB tests'!G204</f>
        <v>307.14070037500602</v>
      </c>
      <c r="I205" s="30" t="s">
        <v>32</v>
      </c>
      <c r="J205" s="30">
        <f t="shared" si="52"/>
        <v>-0.25238172694260769</v>
      </c>
      <c r="K205" s="28">
        <f>'[1]Gurobi tests'!F194</f>
        <v>313085.88987498899</v>
      </c>
      <c r="L205" s="32">
        <f>'[1]Gurobi tests'!G194</f>
        <v>3751.69</v>
      </c>
      <c r="M205" s="29">
        <f>'[1]Gurobi tests'!H194/100</f>
        <v>0.63794890171483998</v>
      </c>
      <c r="N205" s="29">
        <f t="shared" ref="N205" si="53">(C205-K205)/K205</f>
        <v>-0.11001966230015252</v>
      </c>
      <c r="O205" s="29">
        <f>(F205-L205)/L205</f>
        <v>-0.93879451660451696</v>
      </c>
      <c r="P205" s="14"/>
      <c r="Q205" s="20"/>
      <c r="R205" s="20"/>
      <c r="S205" s="2"/>
      <c r="T205" s="2"/>
      <c r="U205" s="2"/>
    </row>
    <row r="206" spans="1:21" ht="17" x14ac:dyDescent="0.2">
      <c r="A206" s="19" t="s">
        <v>73</v>
      </c>
      <c r="B206" s="14" t="s">
        <v>290</v>
      </c>
      <c r="C206" s="28">
        <f>[1]ALNS!Z373</f>
        <v>363226.07999999996</v>
      </c>
      <c r="D206" s="28">
        <f>[1]ALNS!AA373</f>
        <v>361659.63</v>
      </c>
      <c r="E206" s="29">
        <f>[1]ALNS!AD373</f>
        <v>3.0144579701176272E-3</v>
      </c>
      <c r="F206" s="28">
        <f>[1]ALNS!AE373</f>
        <v>492.62600000000003</v>
      </c>
      <c r="G206" s="28" t="str">
        <f>'[1]PFB tests'!F205</f>
        <v>Infeasible</v>
      </c>
      <c r="H206" s="28">
        <f>'[1]PFB tests'!G205</f>
        <v>770.64751770799899</v>
      </c>
      <c r="I206" s="30" t="s">
        <v>32</v>
      </c>
      <c r="J206" s="30">
        <f t="shared" si="52"/>
        <v>-0.36076352848688764</v>
      </c>
      <c r="K206" s="28" t="str">
        <f>'[1]Gurobi tests'!F195</f>
        <v>Infeasible</v>
      </c>
      <c r="L206" s="32">
        <f>'[1]Gurobi tests'!G195</f>
        <v>3842.72</v>
      </c>
      <c r="M206" s="29" t="s">
        <v>32</v>
      </c>
      <c r="N206" s="29" t="s">
        <v>32</v>
      </c>
      <c r="O206" s="29">
        <f>(F206-L206)/L206</f>
        <v>-0.87180278552691837</v>
      </c>
      <c r="P206" s="14"/>
      <c r="Q206" s="20"/>
      <c r="R206" s="20"/>
      <c r="S206" s="2"/>
      <c r="T206" s="2"/>
      <c r="U206" s="2"/>
    </row>
    <row r="207" spans="1:21" ht="17" x14ac:dyDescent="0.2">
      <c r="A207" s="19" t="s">
        <v>203</v>
      </c>
      <c r="B207" s="14" t="s">
        <v>290</v>
      </c>
      <c r="C207" s="28">
        <f>[1]ALNS!Z374</f>
        <v>380735.12400000001</v>
      </c>
      <c r="D207" s="28">
        <f>[1]ALNS!AA374</f>
        <v>378058.26</v>
      </c>
      <c r="E207" s="29">
        <f>[1]ALNS!AD374</f>
        <v>3.9303241894501611E-3</v>
      </c>
      <c r="F207" s="28">
        <f>[1]ALNS!AE374</f>
        <v>636.35799999999995</v>
      </c>
      <c r="G207" s="28" t="str">
        <f>'[1]PFB tests'!F206</f>
        <v>Infeasible</v>
      </c>
      <c r="H207" s="28">
        <f>'[1]PFB tests'!G206</f>
        <v>913.52445216701005</v>
      </c>
      <c r="I207" s="30" t="s">
        <v>32</v>
      </c>
      <c r="J207" s="30">
        <f t="shared" si="52"/>
        <v>-0.30340342998978498</v>
      </c>
      <c r="K207" s="58" t="s">
        <v>15</v>
      </c>
      <c r="L207" s="58" t="s">
        <v>32</v>
      </c>
      <c r="M207" s="59" t="s">
        <v>32</v>
      </c>
      <c r="N207" s="59" t="s">
        <v>32</v>
      </c>
      <c r="O207" s="29" t="s">
        <v>32</v>
      </c>
      <c r="P207" s="14"/>
      <c r="Q207" s="20"/>
      <c r="R207" s="20"/>
      <c r="S207" s="2"/>
      <c r="T207" s="2"/>
      <c r="U207" s="2"/>
    </row>
    <row r="208" spans="1:21" ht="17" x14ac:dyDescent="0.2">
      <c r="A208" s="19" t="s">
        <v>75</v>
      </c>
      <c r="B208" s="14" t="s">
        <v>290</v>
      </c>
      <c r="C208" s="28">
        <f>[1]ALNS!Z375</f>
        <v>477666.43200000003</v>
      </c>
      <c r="D208" s="28">
        <f>[1]ALNS!AA375</f>
        <v>476130.5</v>
      </c>
      <c r="E208" s="29">
        <f>[1]ALNS!AD375</f>
        <v>2.9427580975724607E-3</v>
      </c>
      <c r="F208" s="28">
        <f>[1]ALNS!AE375</f>
        <v>1082.9720000000002</v>
      </c>
      <c r="G208" s="28" t="str">
        <f>'[1]PFB tests'!F207</f>
        <v>Infeasible</v>
      </c>
      <c r="H208" s="28">
        <f>'[1]PFB tests'!G207</f>
        <v>2298.6082339999898</v>
      </c>
      <c r="I208" s="30" t="s">
        <v>32</v>
      </c>
      <c r="J208" s="30">
        <f t="shared" si="52"/>
        <v>-0.52885751300236361</v>
      </c>
      <c r="K208" s="58" t="s">
        <v>15</v>
      </c>
      <c r="L208" s="58" t="s">
        <v>32</v>
      </c>
      <c r="M208" s="59" t="s">
        <v>32</v>
      </c>
      <c r="N208" s="59" t="s">
        <v>32</v>
      </c>
      <c r="O208" s="32" t="s">
        <v>32</v>
      </c>
      <c r="P208" s="14"/>
      <c r="Q208" s="20"/>
      <c r="R208" s="20"/>
      <c r="S208" s="2"/>
      <c r="T208" s="2"/>
      <c r="U208" s="2"/>
    </row>
    <row r="209" spans="1:21" ht="17" x14ac:dyDescent="0.2">
      <c r="A209" s="19" t="s">
        <v>76</v>
      </c>
      <c r="B209" s="14" t="s">
        <v>290</v>
      </c>
      <c r="C209" s="28">
        <f>[1]ALNS!Z376</f>
        <v>541004.08200000005</v>
      </c>
      <c r="D209" s="28">
        <f>[1]ALNS!AA376</f>
        <v>539573.5</v>
      </c>
      <c r="E209" s="29">
        <f>[1]ALNS!AD376</f>
        <v>3.7795760172600395E-3</v>
      </c>
      <c r="F209" s="28">
        <f>[1]ALNS!AE376</f>
        <v>1642.7220000000002</v>
      </c>
      <c r="G209" s="28" t="str">
        <f>'[1]PFB tests'!F208</f>
        <v>Infeasible</v>
      </c>
      <c r="H209" s="28" t="str">
        <f>'[1]PFB tests'!G208</f>
        <v>-</v>
      </c>
      <c r="I209" s="30" t="s">
        <v>32</v>
      </c>
      <c r="J209" s="30" t="s">
        <v>32</v>
      </c>
      <c r="K209" s="58" t="s">
        <v>15</v>
      </c>
      <c r="L209" s="58" t="s">
        <v>32</v>
      </c>
      <c r="M209" s="59" t="s">
        <v>32</v>
      </c>
      <c r="N209" s="59" t="s">
        <v>32</v>
      </c>
      <c r="O209" s="32" t="s">
        <v>32</v>
      </c>
      <c r="P209" s="14"/>
      <c r="Q209" s="20"/>
      <c r="R209" s="20"/>
      <c r="S209" s="2"/>
      <c r="T209" s="2"/>
      <c r="U209" s="2"/>
    </row>
    <row r="210" spans="1:21" ht="17" x14ac:dyDescent="0.2">
      <c r="A210" s="19" t="s">
        <v>204</v>
      </c>
      <c r="B210" s="14" t="s">
        <v>290</v>
      </c>
      <c r="C210" s="28">
        <f>[1]ALNS!Z377</f>
        <v>554650.272</v>
      </c>
      <c r="D210" s="28">
        <f>[1]ALNS!AA377</f>
        <v>549020.26</v>
      </c>
      <c r="E210" s="29">
        <f>[1]ALNS!AD377</f>
        <v>1.0192118022112605E-2</v>
      </c>
      <c r="F210" s="28">
        <f>[1]ALNS!AE377</f>
        <v>2308.4780000000001</v>
      </c>
      <c r="G210" s="58" t="s">
        <v>15</v>
      </c>
      <c r="H210" s="58" t="s">
        <v>32</v>
      </c>
      <c r="I210" s="59" t="s">
        <v>32</v>
      </c>
      <c r="J210" s="59" t="s">
        <v>32</v>
      </c>
      <c r="K210" s="58" t="s">
        <v>15</v>
      </c>
      <c r="L210" s="58" t="s">
        <v>32</v>
      </c>
      <c r="M210" s="59" t="s">
        <v>32</v>
      </c>
      <c r="N210" s="59" t="s">
        <v>32</v>
      </c>
      <c r="O210" s="32" t="s">
        <v>32</v>
      </c>
      <c r="P210" s="14"/>
      <c r="Q210" s="20"/>
      <c r="R210" s="20"/>
      <c r="S210" s="2"/>
      <c r="T210" s="2"/>
      <c r="U210" s="2"/>
    </row>
    <row r="211" spans="1:21" ht="17" x14ac:dyDescent="0.2">
      <c r="A211" s="19" t="s">
        <v>78</v>
      </c>
      <c r="B211" s="14" t="s">
        <v>290</v>
      </c>
      <c r="C211" s="28">
        <f>[1]ALNS!Z378</f>
        <v>574100.19400000002</v>
      </c>
      <c r="D211" s="28">
        <f>[1]ALNS!AA378</f>
        <v>571188.93999999994</v>
      </c>
      <c r="E211" s="29">
        <f>[1]ALNS!AD378</f>
        <v>3.3678177753193482E-3</v>
      </c>
      <c r="F211" s="28">
        <f>[1]ALNS!AE378</f>
        <v>2052.7979999999998</v>
      </c>
      <c r="G211" s="58" t="s">
        <v>15</v>
      </c>
      <c r="H211" s="58" t="s">
        <v>32</v>
      </c>
      <c r="I211" s="59" t="s">
        <v>32</v>
      </c>
      <c r="J211" s="59" t="s">
        <v>32</v>
      </c>
      <c r="K211" s="58" t="s">
        <v>15</v>
      </c>
      <c r="L211" s="58" t="s">
        <v>32</v>
      </c>
      <c r="M211" s="59" t="s">
        <v>32</v>
      </c>
      <c r="N211" s="59" t="s">
        <v>32</v>
      </c>
      <c r="O211" s="32" t="s">
        <v>32</v>
      </c>
      <c r="P211" s="14"/>
      <c r="Q211" s="20"/>
      <c r="R211" s="20"/>
      <c r="S211" s="2"/>
      <c r="T211" s="2"/>
      <c r="U211" s="2"/>
    </row>
    <row r="212" spans="1:21" x14ac:dyDescent="0.2">
      <c r="A212" s="14"/>
      <c r="B212" s="14"/>
      <c r="C212" s="32"/>
      <c r="D212" s="32"/>
      <c r="E212" s="32"/>
      <c r="F212" s="32"/>
      <c r="G212" s="32"/>
      <c r="H212" s="32"/>
      <c r="I212" s="30"/>
      <c r="J212" s="30"/>
      <c r="K212" s="32"/>
      <c r="L212" s="32"/>
      <c r="M212" s="31"/>
      <c r="N212" s="30"/>
      <c r="O212" s="30"/>
      <c r="P212" s="14"/>
      <c r="Q212" s="20"/>
      <c r="R212" s="20"/>
      <c r="S212" s="2"/>
      <c r="T212" s="2"/>
      <c r="U212" s="2"/>
    </row>
    <row r="213" spans="1:21" x14ac:dyDescent="0.2">
      <c r="A213" s="19" t="s">
        <v>79</v>
      </c>
      <c r="B213" s="14" t="s">
        <v>290</v>
      </c>
      <c r="C213" s="28">
        <f>[1]ALNS!Z380</f>
        <v>57884.2</v>
      </c>
      <c r="D213" s="28">
        <f>[1]ALNS!AA380</f>
        <v>57884.2</v>
      </c>
      <c r="E213" s="29">
        <f>[1]ALNS!AD380</f>
        <v>0</v>
      </c>
      <c r="F213" s="28">
        <f>[1]ALNS!AE380</f>
        <v>25.568000000000001</v>
      </c>
      <c r="G213" s="28">
        <f>'[1]PFB tests'!F212</f>
        <v>57884.196109999997</v>
      </c>
      <c r="H213" s="28">
        <f>'[1]PFB tests'!G212</f>
        <v>23.992979667003901</v>
      </c>
      <c r="I213" s="30">
        <f>(C213-G213)/G213</f>
        <v>6.7203144577898541E-8</v>
      </c>
      <c r="J213" s="30">
        <f>(F213-H213)/H213</f>
        <v>6.5645049295904284E-2</v>
      </c>
      <c r="K213" s="28">
        <f>'[1]Gurobi tests'!F199</f>
        <v>57884.195389999899</v>
      </c>
      <c r="L213" s="32">
        <f>'[1]Gurobi tests'!G199</f>
        <v>36.880000000000003</v>
      </c>
      <c r="M213" s="29">
        <f>'[1]Gurobi tests'!H199/100</f>
        <v>0</v>
      </c>
      <c r="N213" s="29">
        <f>(C213-K213)/C213</f>
        <v>7.9641769225148731E-8</v>
      </c>
      <c r="O213" s="29">
        <f t="shared" ref="O213:O218" si="54">(F213-L213)/L213</f>
        <v>-0.3067245119305857</v>
      </c>
      <c r="P213" s="14"/>
      <c r="Q213" s="20"/>
      <c r="R213" s="20"/>
      <c r="S213" s="2"/>
      <c r="T213" s="2"/>
      <c r="U213" s="2"/>
    </row>
    <row r="214" spans="1:21" x14ac:dyDescent="0.2">
      <c r="A214" s="19" t="s">
        <v>80</v>
      </c>
      <c r="B214" s="14" t="s">
        <v>290</v>
      </c>
      <c r="C214" s="28">
        <f>[1]ALNS!Z381</f>
        <v>115338.73000000001</v>
      </c>
      <c r="D214" s="28">
        <f>[1]ALNS!AA381</f>
        <v>115338.73</v>
      </c>
      <c r="E214" s="29">
        <f>[1]ALNS!AD381</f>
        <v>1.4105873913057068E-16</v>
      </c>
      <c r="F214" s="28">
        <f>[1]ALNS!AE381</f>
        <v>36.704000000000001</v>
      </c>
      <c r="G214" s="28">
        <f>'[1]PFB tests'!F213</f>
        <v>115338.73211</v>
      </c>
      <c r="H214" s="28">
        <f>'[1]PFB tests'!G213</f>
        <v>34.139941582994602</v>
      </c>
      <c r="I214" s="30">
        <f>(C214-G214)/G214</f>
        <v>-1.8293941229580623E-8</v>
      </c>
      <c r="J214" s="30">
        <f t="shared" ref="J214:J218" si="55">(F214-H214)/H214</f>
        <v>7.510435865193682E-2</v>
      </c>
      <c r="K214" s="28">
        <f>'[1]Gurobi tests'!F200</f>
        <v>114366.31200000001</v>
      </c>
      <c r="L214" s="32">
        <f>'[1]Gurobi tests'!G200</f>
        <v>761.03</v>
      </c>
      <c r="M214" s="29">
        <f>'[1]Gurobi tests'!H200/100</f>
        <v>0</v>
      </c>
      <c r="N214" s="29">
        <f>(C214-K214)/C214</f>
        <v>8.4309754407734944E-3</v>
      </c>
      <c r="O214" s="29">
        <f t="shared" si="54"/>
        <v>-0.95177062665072343</v>
      </c>
      <c r="P214" s="14"/>
      <c r="Q214" s="20"/>
      <c r="R214" s="20"/>
      <c r="S214" s="2"/>
      <c r="T214" s="2"/>
      <c r="U214" s="2"/>
    </row>
    <row r="215" spans="1:21" x14ac:dyDescent="0.2">
      <c r="A215" s="19" t="s">
        <v>81</v>
      </c>
      <c r="B215" s="14" t="s">
        <v>290</v>
      </c>
      <c r="C215" s="28">
        <f>[1]ALNS!Z382</f>
        <v>137864.81</v>
      </c>
      <c r="D215" s="28">
        <f>[1]ALNS!AA382</f>
        <v>137864.81</v>
      </c>
      <c r="E215" s="29">
        <f>[1]ALNS!AD382</f>
        <v>0</v>
      </c>
      <c r="F215" s="28">
        <f>[1]ALNS!AE382</f>
        <v>45.33</v>
      </c>
      <c r="G215" s="28">
        <f>'[1]PFB tests'!F214</f>
        <v>137864.80811000001</v>
      </c>
      <c r="H215" s="28">
        <f>'[1]PFB tests'!G214</f>
        <v>42.040718042000599</v>
      </c>
      <c r="I215" s="30">
        <f>(C215-G215)/G215</f>
        <v>1.3709082186430015E-8</v>
      </c>
      <c r="J215" s="30">
        <f t="shared" si="55"/>
        <v>7.824038482675906E-2</v>
      </c>
      <c r="K215" s="28">
        <f>'[1]Gurobi tests'!F201</f>
        <v>135311.96399999899</v>
      </c>
      <c r="L215" s="32">
        <f>'[1]Gurobi tests'!G201</f>
        <v>2993.66</v>
      </c>
      <c r="M215" s="29">
        <f>'[1]Gurobi tests'!H201/100</f>
        <v>0</v>
      </c>
      <c r="N215" s="29">
        <f>(C215-K215)/C215</f>
        <v>1.8517024032463462E-2</v>
      </c>
      <c r="O215" s="29">
        <f t="shared" si="54"/>
        <v>-0.98485799990646905</v>
      </c>
      <c r="P215" s="14"/>
      <c r="Q215" s="20"/>
      <c r="R215" s="20"/>
      <c r="S215" s="2"/>
      <c r="T215" s="2"/>
      <c r="U215" s="2"/>
    </row>
    <row r="216" spans="1:21" x14ac:dyDescent="0.2">
      <c r="A216" s="19" t="s">
        <v>82</v>
      </c>
      <c r="B216" s="14" t="s">
        <v>290</v>
      </c>
      <c r="C216" s="28">
        <f>[1]ALNS!Z383</f>
        <v>178542.4</v>
      </c>
      <c r="D216" s="28">
        <f>[1]ALNS!AA383</f>
        <v>178542.4</v>
      </c>
      <c r="E216" s="29">
        <f>[1]ALNS!AD383</f>
        <v>0</v>
      </c>
      <c r="F216" s="28">
        <f>[1]ALNS!AE383</f>
        <v>66.394000000000005</v>
      </c>
      <c r="G216" s="28">
        <f>'[1]PFB tests'!F215</f>
        <v>181611.19216499999</v>
      </c>
      <c r="H216" s="28">
        <f>'[1]PFB tests'!G215</f>
        <v>76.805319000006406</v>
      </c>
      <c r="I216" s="30">
        <f>(C216-G216)/G216</f>
        <v>-1.6897593856505765E-2</v>
      </c>
      <c r="J216" s="30">
        <f t="shared" si="55"/>
        <v>-0.13555466125992566</v>
      </c>
      <c r="K216" s="28">
        <f>'[1]Gurobi tests'!F202</f>
        <v>187591.12742829599</v>
      </c>
      <c r="L216" s="32">
        <f>'[1]Gurobi tests'!G202</f>
        <v>3748.68</v>
      </c>
      <c r="M216" s="29">
        <f>'[1]Gurobi tests'!H202/100</f>
        <v>0.38600050938700198</v>
      </c>
      <c r="N216" s="29">
        <f>(C216-K216)/C216</f>
        <v>-5.0681112320076348E-2</v>
      </c>
      <c r="O216" s="29">
        <f t="shared" si="54"/>
        <v>-0.98228869895536564</v>
      </c>
      <c r="P216" s="14"/>
      <c r="Q216" s="20"/>
      <c r="R216" s="20"/>
      <c r="S216" s="2"/>
      <c r="T216" s="2"/>
      <c r="U216" s="2"/>
    </row>
    <row r="217" spans="1:21" ht="17" x14ac:dyDescent="0.2">
      <c r="A217" s="19" t="s">
        <v>83</v>
      </c>
      <c r="B217" s="14" t="s">
        <v>290</v>
      </c>
      <c r="C217" s="28">
        <f>[1]ALNS!Z384</f>
        <v>226327.78999999998</v>
      </c>
      <c r="D217" s="28">
        <f>[1]ALNS!AA384</f>
        <v>226327.79</v>
      </c>
      <c r="E217" s="29">
        <f>[1]ALNS!AD384</f>
        <v>1.4376966988208854E-16</v>
      </c>
      <c r="F217" s="28">
        <f>[1]ALNS!AE384</f>
        <v>95.187999999999988</v>
      </c>
      <c r="G217" s="28" t="str">
        <f>'[1]PFB tests'!F216</f>
        <v>Infeasible</v>
      </c>
      <c r="H217" s="28" t="s">
        <v>32</v>
      </c>
      <c r="I217" s="30" t="s">
        <v>32</v>
      </c>
      <c r="J217" s="30" t="s">
        <v>32</v>
      </c>
      <c r="K217" s="28">
        <f>'[1]Gurobi tests'!F203</f>
        <v>302302.08773134998</v>
      </c>
      <c r="L217" s="32">
        <f>'[1]Gurobi tests'!G203</f>
        <v>3838.82</v>
      </c>
      <c r="M217" s="29">
        <f>'[1]Gurobi tests'!H203/100</f>
        <v>0.587804494911086</v>
      </c>
      <c r="N217" s="29">
        <f>(C217-K217)/C217</f>
        <v>-0.33568258556030617</v>
      </c>
      <c r="O217" s="29">
        <f t="shared" si="54"/>
        <v>-0.97520383867959426</v>
      </c>
      <c r="P217" s="14"/>
      <c r="Q217" s="20"/>
      <c r="R217" s="20"/>
      <c r="S217" s="2"/>
      <c r="T217" s="2"/>
      <c r="U217" s="2"/>
    </row>
    <row r="218" spans="1:21" ht="17" x14ac:dyDescent="0.2">
      <c r="A218" s="19" t="s">
        <v>84</v>
      </c>
      <c r="B218" s="14" t="s">
        <v>290</v>
      </c>
      <c r="C218" s="28">
        <f>[1]ALNS!Z385</f>
        <v>235215.14000000004</v>
      </c>
      <c r="D218" s="28">
        <f>[1]ALNS!AA385</f>
        <v>235215.14</v>
      </c>
      <c r="E218" s="29">
        <f>[1]ALNS!AD385</f>
        <v>1.3833748819673194E-16</v>
      </c>
      <c r="F218" s="28">
        <f>[1]ALNS!AE385</f>
        <v>116.6</v>
      </c>
      <c r="G218" s="28">
        <f>'[1]PFB tests'!F217</f>
        <v>244687.06833000001</v>
      </c>
      <c r="H218" s="28">
        <f>'[1]PFB tests'!G217</f>
        <v>767.37556600000198</v>
      </c>
      <c r="I218" s="30">
        <f>(C218-G218)/G218</f>
        <v>-3.871037564284166E-2</v>
      </c>
      <c r="J218" s="30">
        <f t="shared" si="55"/>
        <v>-0.84805354096979457</v>
      </c>
      <c r="K218" s="28" t="str">
        <f>'[1]Gurobi tests'!F204</f>
        <v>Infeasible</v>
      </c>
      <c r="L218" s="32">
        <f>'[1]Gurobi tests'!G204</f>
        <v>3908.18</v>
      </c>
      <c r="M218" s="29" t="s">
        <v>32</v>
      </c>
      <c r="N218" s="29" t="s">
        <v>32</v>
      </c>
      <c r="O218" s="29">
        <f t="shared" si="54"/>
        <v>-0.97016514080722993</v>
      </c>
      <c r="P218" s="14"/>
      <c r="Q218" s="20"/>
      <c r="R218" s="20"/>
      <c r="S218" s="2"/>
      <c r="T218" s="2"/>
      <c r="U218" s="2"/>
    </row>
    <row r="219" spans="1:21" ht="17" x14ac:dyDescent="0.2">
      <c r="A219" s="19" t="s">
        <v>85</v>
      </c>
      <c r="B219" s="14" t="s">
        <v>290</v>
      </c>
      <c r="C219" s="28">
        <f>[1]ALNS!Z386</f>
        <v>288936.29200000002</v>
      </c>
      <c r="D219" s="28">
        <f>[1]ALNS!AA386</f>
        <v>288695.8</v>
      </c>
      <c r="E219" s="29">
        <f>[1]ALNS!AD386</f>
        <v>1.8611592760555283E-3</v>
      </c>
      <c r="F219" s="28">
        <f>[1]ALNS!AE386</f>
        <v>140.12800000000001</v>
      </c>
      <c r="G219" s="28" t="str">
        <f>'[1]PFB tests'!F218</f>
        <v>Infeasible</v>
      </c>
      <c r="H219" s="28" t="s">
        <v>32</v>
      </c>
      <c r="I219" s="30" t="s">
        <v>32</v>
      </c>
      <c r="J219" s="30" t="s">
        <v>32</v>
      </c>
      <c r="K219" s="58" t="s">
        <v>15</v>
      </c>
      <c r="L219" s="58" t="s">
        <v>32</v>
      </c>
      <c r="M219" s="59" t="s">
        <v>32</v>
      </c>
      <c r="N219" s="59" t="s">
        <v>32</v>
      </c>
      <c r="O219" s="32" t="s">
        <v>32</v>
      </c>
      <c r="P219" s="14"/>
      <c r="Q219" s="20"/>
      <c r="R219" s="20"/>
      <c r="S219" s="2"/>
      <c r="T219" s="2"/>
      <c r="U219" s="2"/>
    </row>
    <row r="220" spans="1:21" ht="17" x14ac:dyDescent="0.2">
      <c r="A220" s="19" t="s">
        <v>86</v>
      </c>
      <c r="B220" s="14" t="s">
        <v>290</v>
      </c>
      <c r="C220" s="28">
        <f>[1]ALNS!Z387</f>
        <v>317590.55800000002</v>
      </c>
      <c r="D220" s="28">
        <f>[1]ALNS!AA387</f>
        <v>311177.36</v>
      </c>
      <c r="E220" s="29">
        <f>[1]ALNS!AD387</f>
        <v>3.5403533620369021E-2</v>
      </c>
      <c r="F220" s="28">
        <f>[1]ALNS!AE387</f>
        <v>145.42400000000001</v>
      </c>
      <c r="G220" s="58" t="s">
        <v>15</v>
      </c>
      <c r="H220" s="58" t="s">
        <v>32</v>
      </c>
      <c r="I220" s="59" t="s">
        <v>32</v>
      </c>
      <c r="J220" s="59" t="s">
        <v>32</v>
      </c>
      <c r="K220" s="58" t="s">
        <v>15</v>
      </c>
      <c r="L220" s="58" t="s">
        <v>32</v>
      </c>
      <c r="M220" s="59" t="s">
        <v>32</v>
      </c>
      <c r="N220" s="59" t="s">
        <v>32</v>
      </c>
      <c r="O220" s="32" t="s">
        <v>32</v>
      </c>
      <c r="P220" s="14"/>
      <c r="Q220" s="20"/>
      <c r="R220" s="20"/>
      <c r="S220" s="2"/>
      <c r="T220" s="2"/>
      <c r="U220" s="2"/>
    </row>
    <row r="221" spans="1:21" ht="17" x14ac:dyDescent="0.2">
      <c r="A221" s="19" t="s">
        <v>87</v>
      </c>
      <c r="B221" s="14" t="s">
        <v>290</v>
      </c>
      <c r="C221" s="28">
        <f>[1]ALNS!Z388</f>
        <v>345242.10399999999</v>
      </c>
      <c r="D221" s="28">
        <f>[1]ALNS!AA388</f>
        <v>345210.24</v>
      </c>
      <c r="E221" s="29">
        <f>[1]ALNS!AD388</f>
        <v>1.2637965771080862E-4</v>
      </c>
      <c r="F221" s="28">
        <f>[1]ALNS!AE388</f>
        <v>217.84399999999997</v>
      </c>
      <c r="G221" s="58" t="s">
        <v>15</v>
      </c>
      <c r="H221" s="58" t="s">
        <v>32</v>
      </c>
      <c r="I221" s="59" t="s">
        <v>32</v>
      </c>
      <c r="J221" s="59" t="s">
        <v>32</v>
      </c>
      <c r="K221" s="58" t="s">
        <v>15</v>
      </c>
      <c r="L221" s="58" t="s">
        <v>32</v>
      </c>
      <c r="M221" s="59" t="s">
        <v>32</v>
      </c>
      <c r="N221" s="59" t="s">
        <v>32</v>
      </c>
      <c r="O221" s="32" t="s">
        <v>32</v>
      </c>
      <c r="P221" s="14"/>
      <c r="Q221" s="20"/>
      <c r="R221" s="20"/>
      <c r="S221" s="2"/>
      <c r="T221" s="2"/>
      <c r="U221" s="2"/>
    </row>
    <row r="222" spans="1:21" ht="17" x14ac:dyDescent="0.2">
      <c r="A222" s="19" t="s">
        <v>88</v>
      </c>
      <c r="B222" s="14" t="s">
        <v>290</v>
      </c>
      <c r="C222" s="28">
        <f>[1]ALNS!Z389</f>
        <v>372454.03600000002</v>
      </c>
      <c r="D222" s="28">
        <f>[1]ALNS!AA389</f>
        <v>371973.34</v>
      </c>
      <c r="E222" s="29">
        <f>[1]ALNS!AD389</f>
        <v>2.7965937916169859E-3</v>
      </c>
      <c r="F222" s="28">
        <f>[1]ALNS!AE389</f>
        <v>142.858</v>
      </c>
      <c r="G222" s="58" t="s">
        <v>15</v>
      </c>
      <c r="H222" s="58" t="s">
        <v>32</v>
      </c>
      <c r="I222" s="59" t="s">
        <v>32</v>
      </c>
      <c r="J222" s="59" t="s">
        <v>32</v>
      </c>
      <c r="K222" s="58" t="s">
        <v>15</v>
      </c>
      <c r="L222" s="58" t="s">
        <v>32</v>
      </c>
      <c r="M222" s="59" t="s">
        <v>32</v>
      </c>
      <c r="N222" s="59" t="s">
        <v>32</v>
      </c>
      <c r="O222" s="32" t="s">
        <v>32</v>
      </c>
      <c r="P222" s="14"/>
      <c r="Q222" s="20"/>
      <c r="R222" s="20"/>
      <c r="S222" s="2"/>
      <c r="T222" s="2"/>
      <c r="U222" s="2"/>
    </row>
    <row r="223" spans="1:21" x14ac:dyDescent="0.2">
      <c r="A223" s="19"/>
      <c r="B223" s="14"/>
      <c r="C223" s="28"/>
      <c r="D223" s="28"/>
      <c r="E223" s="29"/>
      <c r="F223" s="28"/>
      <c r="G223" s="32"/>
      <c r="H223" s="32"/>
      <c r="I223" s="30"/>
      <c r="J223" s="30"/>
      <c r="K223" s="32"/>
      <c r="L223" s="32"/>
      <c r="M223" s="32"/>
      <c r="N223" s="32"/>
      <c r="O223" s="32"/>
      <c r="P223" s="14"/>
      <c r="Q223" s="20"/>
      <c r="R223" s="20"/>
      <c r="S223" s="2"/>
      <c r="T223" s="2"/>
      <c r="U223" s="2"/>
    </row>
    <row r="224" spans="1:21" ht="17" x14ac:dyDescent="0.2">
      <c r="A224" s="19" t="s">
        <v>89</v>
      </c>
      <c r="B224" s="14" t="s">
        <v>290</v>
      </c>
      <c r="C224" s="28">
        <f>[1]ALNS!Z391</f>
        <v>82923.94</v>
      </c>
      <c r="D224" s="28">
        <f>[1]ALNS!AA391</f>
        <v>82923.94</v>
      </c>
      <c r="E224" s="29">
        <f>[1]ALNS!AD391</f>
        <v>0</v>
      </c>
      <c r="F224" s="28">
        <f>[1]ALNS!AE391</f>
        <v>29.268000000000001</v>
      </c>
      <c r="G224" s="32" t="str">
        <f>'[1]PFB tests'!F223</f>
        <v>Infeasible</v>
      </c>
      <c r="H224" s="28">
        <f>'[1]PFB tests'!G223</f>
        <v>21.9282114160014</v>
      </c>
      <c r="I224" s="30" t="s">
        <v>32</v>
      </c>
      <c r="J224" s="30">
        <f>(F224-H224)/H224</f>
        <v>0.3347189811679136</v>
      </c>
      <c r="K224" s="28">
        <f>'[1]Gurobi tests'!F207</f>
        <v>82923.939499999993</v>
      </c>
      <c r="L224" s="32">
        <f>'[1]Gurobi tests'!G207</f>
        <v>66.55</v>
      </c>
      <c r="M224" s="29">
        <f>'[1]Gurobi tests'!H207/100</f>
        <v>0</v>
      </c>
      <c r="N224" s="29">
        <f>(C224-K224)/K224</f>
        <v>6.029621991087513E-9</v>
      </c>
      <c r="O224" s="29">
        <f>(F224-L224)/L224</f>
        <v>-0.5602103681442524</v>
      </c>
      <c r="P224" s="14"/>
      <c r="Q224" s="20"/>
      <c r="R224" s="20"/>
      <c r="S224" s="2"/>
      <c r="T224" s="2"/>
      <c r="U224" s="2"/>
    </row>
    <row r="225" spans="1:21" ht="17" x14ac:dyDescent="0.2">
      <c r="A225" s="19" t="s">
        <v>90</v>
      </c>
      <c r="B225" s="14" t="s">
        <v>290</v>
      </c>
      <c r="C225" s="28">
        <f>[1]ALNS!Z392</f>
        <v>168942.83</v>
      </c>
      <c r="D225" s="28">
        <f>[1]ALNS!AA392</f>
        <v>168942.83</v>
      </c>
      <c r="E225" s="29">
        <f>[1]ALNS!AD392</f>
        <v>0</v>
      </c>
      <c r="F225" s="28">
        <f>[1]ALNS!AE392</f>
        <v>168.91800000000001</v>
      </c>
      <c r="G225" s="32" t="str">
        <f>'[1]PFB tests'!F224</f>
        <v>Infeasible</v>
      </c>
      <c r="H225" s="28">
        <f>'[1]PFB tests'!G224</f>
        <v>29.767432458000201</v>
      </c>
      <c r="I225" s="30" t="s">
        <v>32</v>
      </c>
      <c r="J225" s="30">
        <f t="shared" ref="J225:J229" si="56">(F225-H225)/H225</f>
        <v>4.6745908548992823</v>
      </c>
      <c r="K225" s="28">
        <f>'[1]Gurobi tests'!F208</f>
        <v>171178.410990865</v>
      </c>
      <c r="L225" s="32">
        <f>'[1]Gurobi tests'!G208</f>
        <v>3641.76</v>
      </c>
      <c r="M225" s="29">
        <f>'[1]Gurobi tests'!H208/100</f>
        <v>0.29397938272205898</v>
      </c>
      <c r="N225" s="29">
        <f>(C225-K225)/K225</f>
        <v>-1.305994709218509E-2</v>
      </c>
      <c r="O225" s="29">
        <f>(F225-L225)/L225</f>
        <v>-0.95361638328720177</v>
      </c>
      <c r="P225" s="14"/>
      <c r="Q225" s="20"/>
      <c r="R225" s="20"/>
      <c r="S225" s="2"/>
      <c r="T225" s="2"/>
      <c r="U225" s="2"/>
    </row>
    <row r="226" spans="1:21" ht="17" x14ac:dyDescent="0.2">
      <c r="A226" s="19" t="s">
        <v>91</v>
      </c>
      <c r="B226" s="14" t="s">
        <v>290</v>
      </c>
      <c r="C226" s="28">
        <f>[1]ALNS!Z393</f>
        <v>220282.52000000002</v>
      </c>
      <c r="D226" s="28">
        <f>[1]ALNS!AA393</f>
        <v>216072.34</v>
      </c>
      <c r="E226" s="29">
        <f>[1]ALNS!AD393</f>
        <v>4.1553475172654224E-2</v>
      </c>
      <c r="F226" s="28">
        <f>[1]ALNS!AE393</f>
        <v>220.98400000000001</v>
      </c>
      <c r="G226" s="32" t="str">
        <f>'[1]PFB tests'!F225</f>
        <v>Infeasible</v>
      </c>
      <c r="H226" s="28">
        <f>'[1]PFB tests'!G225</f>
        <v>41.437708083991303</v>
      </c>
      <c r="I226" s="30" t="s">
        <v>32</v>
      </c>
      <c r="J226" s="30">
        <f t="shared" si="56"/>
        <v>4.3329204296743695</v>
      </c>
      <c r="K226" s="28" t="str">
        <f>'[1]Gurobi tests'!F209</f>
        <v>Infeasible</v>
      </c>
      <c r="L226" s="32">
        <f>'[1]Gurobi tests'!G209</f>
        <v>3696.49</v>
      </c>
      <c r="M226" s="29" t="s">
        <v>32</v>
      </c>
      <c r="N226" s="29" t="s">
        <v>32</v>
      </c>
      <c r="O226" s="29">
        <f t="shared" ref="O226:O228" si="57">(F226-L226)/L226</f>
        <v>-0.94021788236949111</v>
      </c>
      <c r="P226" s="14"/>
      <c r="Q226" s="20"/>
      <c r="R226" s="20"/>
      <c r="S226" s="2"/>
      <c r="T226" s="2"/>
      <c r="U226" s="2"/>
    </row>
    <row r="227" spans="1:21" ht="17" x14ac:dyDescent="0.2">
      <c r="A227" s="19" t="s">
        <v>92</v>
      </c>
      <c r="B227" s="14" t="s">
        <v>290</v>
      </c>
      <c r="C227" s="28">
        <f>[1]ALNS!Z394</f>
        <v>242290.95600000001</v>
      </c>
      <c r="D227" s="28">
        <f>[1]ALNS!AA394</f>
        <v>241965.98</v>
      </c>
      <c r="E227" s="29">
        <f>[1]ALNS!AD394</f>
        <v>2.8403490131034595E-3</v>
      </c>
      <c r="F227" s="28">
        <f>[1]ALNS!AE394</f>
        <v>138.43</v>
      </c>
      <c r="G227" s="28">
        <f>'[1]PFB tests'!F226</f>
        <v>254712.10074999899</v>
      </c>
      <c r="H227" s="28">
        <f>'[1]PFB tests'!G226</f>
        <v>258.99005133300602</v>
      </c>
      <c r="I227" s="30">
        <f t="shared" ref="I227:I229" si="58">(C227-G227)/G227</f>
        <v>-4.8765428550214013E-2</v>
      </c>
      <c r="J227" s="30">
        <f t="shared" si="56"/>
        <v>-0.46550070441891794</v>
      </c>
      <c r="K227" s="28" t="str">
        <f>'[1]Gurobi tests'!F210</f>
        <v>Infeasible</v>
      </c>
      <c r="L227" s="32">
        <f>'[1]Gurobi tests'!G210</f>
        <v>3745.96</v>
      </c>
      <c r="M227" s="29" t="s">
        <v>32</v>
      </c>
      <c r="N227" s="29" t="s">
        <v>32</v>
      </c>
      <c r="O227" s="29">
        <f t="shared" si="57"/>
        <v>-0.96304552104133523</v>
      </c>
      <c r="P227" s="14"/>
      <c r="Q227" s="20"/>
      <c r="R227" s="20"/>
      <c r="S227" s="2"/>
      <c r="T227" s="2"/>
      <c r="U227" s="2"/>
    </row>
    <row r="228" spans="1:21" ht="17" x14ac:dyDescent="0.2">
      <c r="A228" s="19" t="s">
        <v>93</v>
      </c>
      <c r="B228" s="14" t="s">
        <v>290</v>
      </c>
      <c r="C228" s="28">
        <f>[1]ALNS!Z395</f>
        <v>309038.864</v>
      </c>
      <c r="D228" s="28">
        <f>[1]ALNS!AA395</f>
        <v>308053.06</v>
      </c>
      <c r="E228" s="29">
        <f>[1]ALNS!AD395</f>
        <v>2.7170630306430086E-3</v>
      </c>
      <c r="F228" s="28">
        <f>[1]ALNS!AE395</f>
        <v>326.08600000000001</v>
      </c>
      <c r="G228" s="28">
        <f>'[1]PFB tests'!F227</f>
        <v>321130.92299999902</v>
      </c>
      <c r="H228" s="28">
        <f>'[1]PFB tests'!G227</f>
        <v>1250.0327069999901</v>
      </c>
      <c r="I228" s="30">
        <f t="shared" si="58"/>
        <v>-3.7654607930731901E-2</v>
      </c>
      <c r="J228" s="30">
        <f t="shared" si="56"/>
        <v>-0.73913802561007502</v>
      </c>
      <c r="K228" s="28" t="str">
        <f>'[1]Gurobi tests'!F211</f>
        <v>Infeasible</v>
      </c>
      <c r="L228" s="32">
        <f>'[1]Gurobi tests'!G211</f>
        <v>3837.34</v>
      </c>
      <c r="M228" s="29" t="s">
        <v>32</v>
      </c>
      <c r="N228" s="29" t="s">
        <v>32</v>
      </c>
      <c r="O228" s="29">
        <f t="shared" si="57"/>
        <v>-0.91502290649251816</v>
      </c>
      <c r="P228" s="28"/>
      <c r="Q228" s="20"/>
      <c r="R228" s="20"/>
      <c r="S228" s="2"/>
      <c r="T228" s="2"/>
      <c r="U228" s="2"/>
    </row>
    <row r="229" spans="1:21" ht="17" x14ac:dyDescent="0.2">
      <c r="A229" s="19" t="s">
        <v>94</v>
      </c>
      <c r="B229" s="14" t="s">
        <v>290</v>
      </c>
      <c r="C229" s="28">
        <f>[1]ALNS!Z396</f>
        <v>320507.15000000002</v>
      </c>
      <c r="D229" s="28">
        <f>[1]ALNS!AA396</f>
        <v>319905.51</v>
      </c>
      <c r="E229" s="29">
        <f>[1]ALNS!AD396</f>
        <v>1.9344693353838304E-3</v>
      </c>
      <c r="F229" s="28">
        <f>[1]ALNS!AE396</f>
        <v>408.55599999999998</v>
      </c>
      <c r="G229" s="28">
        <f>'[1]PFB tests'!F228</f>
        <v>335080.83875</v>
      </c>
      <c r="H229" s="28">
        <f>'[1]PFB tests'!G228</f>
        <v>2647.5487038749998</v>
      </c>
      <c r="I229" s="30">
        <f t="shared" si="58"/>
        <v>-4.3493053211775073E-2</v>
      </c>
      <c r="J229" s="30">
        <f t="shared" si="56"/>
        <v>-0.84568518063443743</v>
      </c>
      <c r="K229" s="58" t="s">
        <v>15</v>
      </c>
      <c r="L229" s="58" t="s">
        <v>32</v>
      </c>
      <c r="M229" s="59" t="s">
        <v>32</v>
      </c>
      <c r="N229" s="59" t="s">
        <v>32</v>
      </c>
      <c r="O229" s="29" t="s">
        <v>32</v>
      </c>
      <c r="P229" s="14"/>
      <c r="Q229" s="20"/>
      <c r="R229" s="20"/>
      <c r="S229" s="2"/>
      <c r="T229" s="2"/>
      <c r="U229" s="2"/>
    </row>
    <row r="230" spans="1:21" ht="17" x14ac:dyDescent="0.2">
      <c r="A230" s="19" t="s">
        <v>95</v>
      </c>
      <c r="B230" s="14" t="s">
        <v>290</v>
      </c>
      <c r="C230" s="28">
        <f>[1]ALNS!Z397</f>
        <v>376811.11600000004</v>
      </c>
      <c r="D230" s="28">
        <f>[1]ALNS!AA397</f>
        <v>375186.04</v>
      </c>
      <c r="E230" s="29">
        <f>[1]ALNS!AD397</f>
        <v>4.0768754678150131E-3</v>
      </c>
      <c r="F230" s="28">
        <f>[1]ALNS!AE397</f>
        <v>562.00800000000004</v>
      </c>
      <c r="G230" s="28">
        <f>'[1]PFB tests'!F229</f>
        <v>394926.75124999997</v>
      </c>
      <c r="H230" s="28">
        <f>'[1]PFB tests'!G229</f>
        <v>9053.867903458</v>
      </c>
      <c r="I230" s="30" t="s">
        <v>32</v>
      </c>
      <c r="J230" s="30" t="s">
        <v>32</v>
      </c>
      <c r="K230" s="58" t="s">
        <v>15</v>
      </c>
      <c r="L230" s="58" t="s">
        <v>32</v>
      </c>
      <c r="M230" s="59" t="s">
        <v>32</v>
      </c>
      <c r="N230" s="59" t="s">
        <v>32</v>
      </c>
      <c r="O230" s="32" t="s">
        <v>32</v>
      </c>
      <c r="P230" s="14"/>
      <c r="Q230" s="20"/>
      <c r="R230" s="20"/>
      <c r="S230" s="2"/>
      <c r="T230" s="2"/>
      <c r="U230" s="2"/>
    </row>
    <row r="231" spans="1:21" ht="17" x14ac:dyDescent="0.2">
      <c r="A231" s="19" t="s">
        <v>96</v>
      </c>
      <c r="B231" s="14" t="s">
        <v>290</v>
      </c>
      <c r="C231" s="28">
        <f>[1]ALNS!Z398</f>
        <v>408789.55599999998</v>
      </c>
      <c r="D231" s="28">
        <f>[1]ALNS!AA398</f>
        <v>408075.11</v>
      </c>
      <c r="E231" s="29">
        <f>[1]ALNS!AD398</f>
        <v>1.9911085441843518E-3</v>
      </c>
      <c r="F231" s="28">
        <f>[1]ALNS!AE398</f>
        <v>488.30799999999999</v>
      </c>
      <c r="G231" s="32" t="str">
        <f>'[1]PFB tests'!F230</f>
        <v>Infeasible</v>
      </c>
      <c r="H231" s="28" t="str">
        <f>'[1]PFB tests'!G230</f>
        <v>-</v>
      </c>
      <c r="I231" s="30" t="s">
        <v>32</v>
      </c>
      <c r="J231" s="30" t="s">
        <v>32</v>
      </c>
      <c r="K231" s="58" t="s">
        <v>15</v>
      </c>
      <c r="L231" s="58" t="s">
        <v>32</v>
      </c>
      <c r="M231" s="59" t="s">
        <v>32</v>
      </c>
      <c r="N231" s="59" t="s">
        <v>32</v>
      </c>
      <c r="O231" s="32" t="s">
        <v>32</v>
      </c>
      <c r="P231" s="14"/>
      <c r="Q231" s="20"/>
      <c r="R231" s="20"/>
      <c r="S231" s="2"/>
      <c r="T231" s="2"/>
      <c r="U231" s="2"/>
    </row>
    <row r="232" spans="1:21" ht="17" x14ac:dyDescent="0.2">
      <c r="A232" s="19" t="s">
        <v>97</v>
      </c>
      <c r="B232" s="14" t="s">
        <v>290</v>
      </c>
      <c r="C232" s="28">
        <f>[1]ALNS!Z399</f>
        <v>457092.38</v>
      </c>
      <c r="D232" s="28">
        <f>[1]ALNS!AA399</f>
        <v>456262.8</v>
      </c>
      <c r="E232" s="29">
        <f>[1]ALNS!AD399</f>
        <v>1.961785811620174E-3</v>
      </c>
      <c r="F232" s="28">
        <f>[1]ALNS!AE399</f>
        <v>601.024</v>
      </c>
      <c r="G232" s="58" t="s">
        <v>15</v>
      </c>
      <c r="H232" s="58" t="s">
        <v>32</v>
      </c>
      <c r="I232" s="59" t="s">
        <v>32</v>
      </c>
      <c r="J232" s="59" t="s">
        <v>32</v>
      </c>
      <c r="K232" s="58" t="s">
        <v>15</v>
      </c>
      <c r="L232" s="58" t="s">
        <v>32</v>
      </c>
      <c r="M232" s="59" t="s">
        <v>32</v>
      </c>
      <c r="N232" s="59" t="s">
        <v>32</v>
      </c>
      <c r="O232" s="32" t="s">
        <v>32</v>
      </c>
      <c r="P232" s="14"/>
      <c r="Q232" s="20"/>
      <c r="R232" s="20"/>
      <c r="S232" s="2"/>
      <c r="T232" s="2"/>
      <c r="U232" s="2"/>
    </row>
    <row r="233" spans="1:21" ht="17" x14ac:dyDescent="0.2">
      <c r="A233" s="19" t="s">
        <v>98</v>
      </c>
      <c r="B233" s="14" t="s">
        <v>290</v>
      </c>
      <c r="C233" s="28">
        <f>[1]ALNS!Z400</f>
        <v>490790.89400000003</v>
      </c>
      <c r="D233" s="28">
        <f>[1]ALNS!AA400</f>
        <v>489252.48</v>
      </c>
      <c r="E233" s="29">
        <f>[1]ALNS!AD400</f>
        <v>2.4011090558801757E-3</v>
      </c>
      <c r="F233" s="28">
        <f>[1]ALNS!AE400</f>
        <v>416.38199999999995</v>
      </c>
      <c r="G233" s="58" t="s">
        <v>15</v>
      </c>
      <c r="H233" s="58" t="s">
        <v>32</v>
      </c>
      <c r="I233" s="59" t="s">
        <v>32</v>
      </c>
      <c r="J233" s="59" t="s">
        <v>32</v>
      </c>
      <c r="K233" s="58" t="s">
        <v>15</v>
      </c>
      <c r="L233" s="58" t="s">
        <v>32</v>
      </c>
      <c r="M233" s="59" t="s">
        <v>32</v>
      </c>
      <c r="N233" s="59" t="s">
        <v>32</v>
      </c>
      <c r="O233" s="32" t="s">
        <v>32</v>
      </c>
      <c r="P233" s="14"/>
      <c r="Q233" s="20"/>
      <c r="R233" s="20"/>
      <c r="S233" s="2"/>
      <c r="T233" s="2"/>
      <c r="U233" s="2"/>
    </row>
    <row r="234" spans="1:21" x14ac:dyDescent="0.2">
      <c r="A234" s="14"/>
      <c r="B234" s="14"/>
      <c r="C234" s="28"/>
      <c r="D234" s="28"/>
      <c r="E234" s="29"/>
      <c r="F234" s="28"/>
      <c r="G234" s="32"/>
      <c r="H234" s="32"/>
      <c r="I234" s="30"/>
      <c r="J234" s="30"/>
      <c r="K234" s="32"/>
      <c r="L234" s="32"/>
      <c r="M234" s="32"/>
      <c r="N234" s="32"/>
      <c r="O234" s="32"/>
      <c r="P234" s="14"/>
      <c r="Q234" s="20"/>
      <c r="R234" s="20"/>
      <c r="S234" s="2"/>
      <c r="T234" s="2"/>
      <c r="U234" s="2"/>
    </row>
    <row r="235" spans="1:21" ht="17" x14ac:dyDescent="0.2">
      <c r="A235" s="19" t="s">
        <v>99</v>
      </c>
      <c r="B235" s="14" t="s">
        <v>290</v>
      </c>
      <c r="C235" s="28" t="str">
        <f>[1]ALNS!Z402</f>
        <v>Infeasible</v>
      </c>
      <c r="D235" s="28" t="str">
        <f>[1]ALNS!AA402</f>
        <v>-</v>
      </c>
      <c r="E235" s="29" t="str">
        <f>[1]ALNS!AD402</f>
        <v>-</v>
      </c>
      <c r="F235" s="28">
        <f>[1]ALNS!AE402</f>
        <v>31.302000000000003</v>
      </c>
      <c r="G235" s="32" t="str">
        <f>'[1]PFB tests'!F234</f>
        <v>Infeasible</v>
      </c>
      <c r="H235" s="28">
        <f>'[1]PFB tests'!G234</f>
        <v>21.965199042009701</v>
      </c>
      <c r="I235" s="30" t="s">
        <v>32</v>
      </c>
      <c r="J235" s="30">
        <f>(F235-H235)/H235</f>
        <v>0.42507244938382466</v>
      </c>
      <c r="K235" s="32" t="str">
        <f>'[1]Gurobi tests'!F215</f>
        <v>Infeasible</v>
      </c>
      <c r="L235" s="32">
        <f>'[1]Gurobi tests'!G215</f>
        <v>3624.22</v>
      </c>
      <c r="M235" s="29" t="s">
        <v>32</v>
      </c>
      <c r="N235" s="29" t="s">
        <v>32</v>
      </c>
      <c r="O235" s="29">
        <f>(F235-L235)/L235</f>
        <v>-0.9913631070961475</v>
      </c>
      <c r="P235" s="14"/>
      <c r="Q235" s="20"/>
      <c r="R235" s="20"/>
      <c r="S235" s="2"/>
      <c r="T235" s="2"/>
      <c r="U235" s="2"/>
    </row>
    <row r="236" spans="1:21" ht="17" x14ac:dyDescent="0.2">
      <c r="A236" s="19" t="s">
        <v>205</v>
      </c>
      <c r="B236" s="14" t="s">
        <v>290</v>
      </c>
      <c r="C236" s="28" t="str">
        <f>[1]ALNS!Z403</f>
        <v>Infeasible</v>
      </c>
      <c r="D236" s="28" t="str">
        <f>[1]ALNS!AA403</f>
        <v>-</v>
      </c>
      <c r="E236" s="29" t="str">
        <f>[1]ALNS!AD403</f>
        <v>-</v>
      </c>
      <c r="F236" s="28">
        <f>[1]ALNS!AE403</f>
        <v>93.772000000000006</v>
      </c>
      <c r="G236" s="32" t="str">
        <f>'[1]PFB tests'!F235</f>
        <v>Infeasible</v>
      </c>
      <c r="H236" s="28">
        <f>'[1]PFB tests'!G235</f>
        <v>29.629845957999301</v>
      </c>
      <c r="I236" s="30" t="s">
        <v>32</v>
      </c>
      <c r="J236" s="30">
        <f t="shared" ref="J236:J241" si="59">(F236-H236)/H236</f>
        <v>2.1647818936663743</v>
      </c>
      <c r="K236" s="32" t="str">
        <f>'[1]Gurobi tests'!F216</f>
        <v>Infeasible</v>
      </c>
      <c r="L236" s="32">
        <f>'[1]Gurobi tests'!G216</f>
        <v>3647.41</v>
      </c>
      <c r="M236" s="29" t="s">
        <v>32</v>
      </c>
      <c r="N236" s="29" t="s">
        <v>32</v>
      </c>
      <c r="O236" s="29">
        <f>(F236-L236)/L236</f>
        <v>-0.97429079812798669</v>
      </c>
      <c r="P236" s="14"/>
      <c r="Q236" s="20"/>
      <c r="R236" s="20"/>
      <c r="S236" s="2"/>
      <c r="T236" s="2"/>
      <c r="U236" s="2"/>
    </row>
    <row r="237" spans="1:21" ht="17" x14ac:dyDescent="0.2">
      <c r="A237" s="19" t="s">
        <v>101</v>
      </c>
      <c r="B237" s="14" t="s">
        <v>290</v>
      </c>
      <c r="C237" s="28" t="str">
        <f>[1]ALNS!Z404</f>
        <v>Infeasible</v>
      </c>
      <c r="D237" s="28" t="str">
        <f>[1]ALNS!AA404</f>
        <v>-</v>
      </c>
      <c r="E237" s="29" t="str">
        <f>[1]ALNS!AD404</f>
        <v>-</v>
      </c>
      <c r="F237" s="28">
        <f>[1]ALNS!AE404</f>
        <v>121.48600000000002</v>
      </c>
      <c r="G237" s="32" t="str">
        <f>'[1]PFB tests'!F236</f>
        <v>Infeasible</v>
      </c>
      <c r="H237" s="28">
        <f>'[1]PFB tests'!G236</f>
        <v>41.585732917010297</v>
      </c>
      <c r="I237" s="30" t="s">
        <v>32</v>
      </c>
      <c r="J237" s="30">
        <f t="shared" si="59"/>
        <v>1.9213384369692614</v>
      </c>
      <c r="K237" s="32" t="str">
        <f>'[1]Gurobi tests'!F217</f>
        <v>Infeasible</v>
      </c>
      <c r="L237" s="32">
        <f>'[1]Gurobi tests'!G217</f>
        <v>3696.5</v>
      </c>
      <c r="M237" s="29" t="s">
        <v>32</v>
      </c>
      <c r="N237" s="29" t="s">
        <v>32</v>
      </c>
      <c r="O237" s="29">
        <f>(F237-L237)/L237</f>
        <v>-0.96713485729744353</v>
      </c>
      <c r="P237" s="14"/>
      <c r="Q237" s="20"/>
      <c r="R237" s="20"/>
      <c r="S237" s="2"/>
      <c r="T237" s="2"/>
      <c r="U237" s="2"/>
    </row>
    <row r="238" spans="1:21" ht="17" x14ac:dyDescent="0.2">
      <c r="A238" s="19" t="s">
        <v>206</v>
      </c>
      <c r="B238" s="14" t="s">
        <v>290</v>
      </c>
      <c r="C238" s="28">
        <f>[1]ALNS!Z405</f>
        <v>296141.48</v>
      </c>
      <c r="D238" s="28">
        <f>[1]ALNS!AA405</f>
        <v>296141.48</v>
      </c>
      <c r="E238" s="29">
        <f>[1]ALNS!AD405</f>
        <v>0</v>
      </c>
      <c r="F238" s="28">
        <f>[1]ALNS!AE405</f>
        <v>291.39800000000002</v>
      </c>
      <c r="G238" s="32" t="str">
        <f>'[1]PFB tests'!F237</f>
        <v>Infeasible</v>
      </c>
      <c r="H238" s="28">
        <f>'[1]PFB tests'!G237</f>
        <v>730.06137524999201</v>
      </c>
      <c r="I238" s="30" t="s">
        <v>32</v>
      </c>
      <c r="J238" s="30">
        <f t="shared" si="59"/>
        <v>-0.6008582156531459</v>
      </c>
      <c r="K238" s="32" t="str">
        <f>'[1]Gurobi tests'!F218</f>
        <v>Infeasible</v>
      </c>
      <c r="L238" s="32">
        <f>'[1]Gurobi tests'!G218</f>
        <v>3745.26</v>
      </c>
      <c r="M238" s="29" t="s">
        <v>32</v>
      </c>
      <c r="N238" s="29" t="s">
        <v>32</v>
      </c>
      <c r="O238" s="29">
        <f t="shared" ref="O238:O239" si="60">(F238-L238)/L238</f>
        <v>-0.92219552180622966</v>
      </c>
      <c r="P238" s="14"/>
      <c r="Q238" s="20"/>
      <c r="R238" s="20"/>
      <c r="S238" s="2"/>
      <c r="T238" s="2"/>
      <c r="U238" s="2"/>
    </row>
    <row r="239" spans="1:21" ht="17" x14ac:dyDescent="0.2">
      <c r="A239" s="19" t="s">
        <v>207</v>
      </c>
      <c r="B239" s="14" t="s">
        <v>290</v>
      </c>
      <c r="C239" s="28">
        <f>[1]ALNS!Z406</f>
        <v>378153.696</v>
      </c>
      <c r="D239" s="28">
        <f>[1]ALNS!AA406</f>
        <v>377766.74</v>
      </c>
      <c r="E239" s="29">
        <f>[1]ALNS!AD406</f>
        <v>2.288117052547388E-3</v>
      </c>
      <c r="F239" s="28">
        <f>[1]ALNS!AE406</f>
        <v>569.80800000000011</v>
      </c>
      <c r="G239" s="32" t="str">
        <f>'[1]PFB tests'!F238</f>
        <v>Infeasible</v>
      </c>
      <c r="H239" s="28">
        <f>'[1]PFB tests'!G238</f>
        <v>1438.96759937499</v>
      </c>
      <c r="I239" s="30" t="s">
        <v>32</v>
      </c>
      <c r="J239" s="30">
        <f t="shared" si="59"/>
        <v>-0.6040161013719183</v>
      </c>
      <c r="K239" s="32" t="str">
        <f>'[1]Gurobi tests'!F219</f>
        <v>Infeasible</v>
      </c>
      <c r="L239" s="32">
        <f>'[1]Gurobi tests'!G219</f>
        <v>3837.7</v>
      </c>
      <c r="M239" s="29" t="s">
        <v>32</v>
      </c>
      <c r="N239" s="29" t="s">
        <v>32</v>
      </c>
      <c r="O239" s="29">
        <f t="shared" si="60"/>
        <v>-0.85152356880423175</v>
      </c>
      <c r="P239" s="14"/>
      <c r="Q239" s="20"/>
      <c r="R239" s="20"/>
      <c r="S239" s="2"/>
      <c r="T239" s="2"/>
      <c r="U239" s="2"/>
    </row>
    <row r="240" spans="1:21" ht="17" x14ac:dyDescent="0.2">
      <c r="A240" s="19" t="s">
        <v>208</v>
      </c>
      <c r="B240" s="14" t="s">
        <v>290</v>
      </c>
      <c r="C240" s="28">
        <f>[1]ALNS!Z407</f>
        <v>391051.34</v>
      </c>
      <c r="D240" s="28">
        <f>[1]ALNS!AA407</f>
        <v>391051.34</v>
      </c>
      <c r="E240" s="29">
        <f>[1]ALNS!AD407</f>
        <v>0</v>
      </c>
      <c r="F240" s="28">
        <f>[1]ALNS!AE407</f>
        <v>1036.2339999999999</v>
      </c>
      <c r="G240" s="32" t="str">
        <f>'[1]PFB tests'!F239</f>
        <v>Infeasible</v>
      </c>
      <c r="H240" s="28">
        <f>'[1]PFB tests'!G239</f>
        <v>2814.4324920419999</v>
      </c>
      <c r="I240" s="30" t="s">
        <v>32</v>
      </c>
      <c r="J240" s="30">
        <f t="shared" si="59"/>
        <v>-0.63181422793759578</v>
      </c>
      <c r="K240" s="58" t="s">
        <v>15</v>
      </c>
      <c r="L240" s="58" t="s">
        <v>32</v>
      </c>
      <c r="M240" s="59" t="s">
        <v>32</v>
      </c>
      <c r="N240" s="59" t="s">
        <v>32</v>
      </c>
      <c r="O240" s="32" t="s">
        <v>32</v>
      </c>
      <c r="P240" s="14"/>
      <c r="Q240" s="20"/>
      <c r="R240" s="20"/>
      <c r="S240" s="2"/>
      <c r="T240" s="2"/>
      <c r="U240" s="2"/>
    </row>
    <row r="241" spans="1:21" ht="17" x14ac:dyDescent="0.2">
      <c r="A241" s="19" t="s">
        <v>105</v>
      </c>
      <c r="B241" s="14" t="s">
        <v>290</v>
      </c>
      <c r="C241" s="28">
        <f>[1]ALNS!Z408</f>
        <v>452943</v>
      </c>
      <c r="D241" s="28">
        <f>[1]ALNS!AA408</f>
        <v>449631.53</v>
      </c>
      <c r="E241" s="29">
        <f>[1]ALNS!AD408</f>
        <v>6.8207376288407437E-3</v>
      </c>
      <c r="F241" s="28">
        <f>[1]ALNS!AE408</f>
        <v>1364.3520000000001</v>
      </c>
      <c r="G241" s="32" t="str">
        <f>'[1]PFB tests'!F240</f>
        <v>Infeasible</v>
      </c>
      <c r="H241" s="28">
        <f>'[1]PFB tests'!G240</f>
        <v>5559.1821702079997</v>
      </c>
      <c r="I241" s="30" t="s">
        <v>32</v>
      </c>
      <c r="J241" s="30">
        <f t="shared" si="59"/>
        <v>-0.75457684993457375</v>
      </c>
      <c r="K241" s="58" t="s">
        <v>15</v>
      </c>
      <c r="L241" s="58" t="s">
        <v>32</v>
      </c>
      <c r="M241" s="59" t="s">
        <v>32</v>
      </c>
      <c r="N241" s="59" t="s">
        <v>32</v>
      </c>
      <c r="O241" s="32" t="s">
        <v>32</v>
      </c>
      <c r="P241" s="14"/>
      <c r="Q241" s="20"/>
      <c r="R241" s="20"/>
      <c r="S241" s="2"/>
      <c r="T241" s="2"/>
      <c r="U241" s="2"/>
    </row>
    <row r="242" spans="1:21" ht="17" x14ac:dyDescent="0.2">
      <c r="A242" s="19" t="s">
        <v>106</v>
      </c>
      <c r="B242" s="14" t="s">
        <v>290</v>
      </c>
      <c r="C242" s="28">
        <f>[1]ALNS!Z409</f>
        <v>488785.66799999995</v>
      </c>
      <c r="D242" s="28">
        <f>[1]ALNS!AA409</f>
        <v>485154.87</v>
      </c>
      <c r="E242" s="29">
        <f>[1]ALNS!AD409</f>
        <v>4.9657767656100336E-3</v>
      </c>
      <c r="F242" s="28">
        <f>[1]ALNS!AE409</f>
        <v>1422.8340000000001</v>
      </c>
      <c r="G242" s="32" t="str">
        <f>'[1]PFB tests'!F241</f>
        <v>Infeasible</v>
      </c>
      <c r="H242" s="28" t="str">
        <f>'[1]PFB tests'!G241</f>
        <v>-</v>
      </c>
      <c r="I242" s="30" t="s">
        <v>32</v>
      </c>
      <c r="J242" s="30" t="s">
        <v>32</v>
      </c>
      <c r="K242" s="58" t="s">
        <v>15</v>
      </c>
      <c r="L242" s="58" t="s">
        <v>32</v>
      </c>
      <c r="M242" s="59" t="s">
        <v>32</v>
      </c>
      <c r="N242" s="59" t="s">
        <v>32</v>
      </c>
      <c r="O242" s="32" t="s">
        <v>32</v>
      </c>
      <c r="P242" s="14"/>
      <c r="Q242" s="20"/>
      <c r="R242" s="20"/>
      <c r="S242" s="2"/>
      <c r="T242" s="2"/>
      <c r="U242" s="2"/>
    </row>
    <row r="243" spans="1:21" ht="17" x14ac:dyDescent="0.2">
      <c r="A243" s="19" t="s">
        <v>209</v>
      </c>
      <c r="B243" s="14" t="s">
        <v>290</v>
      </c>
      <c r="C243" s="28">
        <f>[1]ALNS!Z410</f>
        <v>550827.196</v>
      </c>
      <c r="D243" s="28">
        <f>[1]ALNS!AA410</f>
        <v>547548.30000000005</v>
      </c>
      <c r="E243" s="29">
        <f>[1]ALNS!AD410</f>
        <v>6.5181680425220826E-3</v>
      </c>
      <c r="F243" s="28">
        <f>[1]ALNS!AE410</f>
        <v>2233.8139999999999</v>
      </c>
      <c r="G243" s="58" t="s">
        <v>15</v>
      </c>
      <c r="H243" s="58" t="s">
        <v>32</v>
      </c>
      <c r="I243" s="59" t="s">
        <v>32</v>
      </c>
      <c r="J243" s="59" t="s">
        <v>32</v>
      </c>
      <c r="K243" s="58" t="s">
        <v>15</v>
      </c>
      <c r="L243" s="58" t="s">
        <v>32</v>
      </c>
      <c r="M243" s="59" t="s">
        <v>32</v>
      </c>
      <c r="N243" s="59" t="s">
        <v>32</v>
      </c>
      <c r="O243" s="32" t="s">
        <v>32</v>
      </c>
      <c r="P243" s="14"/>
      <c r="Q243" s="20"/>
      <c r="R243" s="20"/>
      <c r="S243" s="2"/>
      <c r="T243" s="2"/>
      <c r="U243" s="2"/>
    </row>
    <row r="244" spans="1:21" ht="17" x14ac:dyDescent="0.2">
      <c r="A244" s="19" t="s">
        <v>108</v>
      </c>
      <c r="B244" s="14" t="s">
        <v>290</v>
      </c>
      <c r="C244" s="28">
        <f>[1]ALNS!Z411</f>
        <v>587264.32000000007</v>
      </c>
      <c r="D244" s="28">
        <f>[1]ALNS!AA411</f>
        <v>581241.61</v>
      </c>
      <c r="E244" s="29">
        <f>[1]ALNS!AD411</f>
        <v>5.8014680727677612E-3</v>
      </c>
      <c r="F244" s="28">
        <f>[1]ALNS!AE411</f>
        <v>2061.0540000000001</v>
      </c>
      <c r="G244" s="58" t="s">
        <v>15</v>
      </c>
      <c r="H244" s="58" t="s">
        <v>32</v>
      </c>
      <c r="I244" s="59" t="s">
        <v>32</v>
      </c>
      <c r="J244" s="59" t="s">
        <v>32</v>
      </c>
      <c r="K244" s="58" t="s">
        <v>15</v>
      </c>
      <c r="L244" s="58" t="s">
        <v>32</v>
      </c>
      <c r="M244" s="59" t="s">
        <v>32</v>
      </c>
      <c r="N244" s="59" t="s">
        <v>32</v>
      </c>
      <c r="O244" s="32" t="s">
        <v>32</v>
      </c>
      <c r="P244" s="14"/>
      <c r="Q244" s="20"/>
      <c r="R244" s="20"/>
      <c r="S244" s="2"/>
      <c r="T244" s="2"/>
      <c r="U244" s="2"/>
    </row>
    <row r="245" spans="1:21" x14ac:dyDescent="0.2">
      <c r="A245" s="14"/>
      <c r="B245" s="14"/>
      <c r="C245" s="32"/>
      <c r="D245" s="32"/>
      <c r="E245" s="32"/>
      <c r="F245" s="32"/>
      <c r="G245" s="32"/>
      <c r="H245" s="32"/>
      <c r="I245" s="30"/>
      <c r="J245" s="30"/>
      <c r="K245" s="32"/>
      <c r="L245" s="32"/>
      <c r="M245" s="31"/>
      <c r="N245" s="30"/>
      <c r="O245" s="30"/>
      <c r="P245" s="14"/>
      <c r="Q245" s="20"/>
      <c r="R245" s="20"/>
      <c r="S245" s="2"/>
      <c r="T245" s="2"/>
      <c r="U245" s="2"/>
    </row>
    <row r="246" spans="1:21" x14ac:dyDescent="0.2">
      <c r="A246" s="19" t="s">
        <v>109</v>
      </c>
      <c r="B246" s="14" t="s">
        <v>290</v>
      </c>
      <c r="C246" s="28">
        <f>[1]ALNS!Z413</f>
        <v>62091.680000000008</v>
      </c>
      <c r="D246" s="28">
        <f>[1]ALNS!AA413</f>
        <v>62091.68</v>
      </c>
      <c r="E246" s="29">
        <f>[1]ALNS!AD413</f>
        <v>1.3101220507096384E-16</v>
      </c>
      <c r="F246" s="28">
        <f>[1]ALNS!AE413</f>
        <v>23.985999999999997</v>
      </c>
      <c r="G246" s="28">
        <f>'[1]PFB tests'!F245</f>
        <v>62091.684054999998</v>
      </c>
      <c r="H246" s="28">
        <f>'[1]PFB tests'!G245</f>
        <v>27.7744813339995</v>
      </c>
      <c r="I246" s="30">
        <f t="shared" ref="I246:I252" si="61">(C246-G246)/G246</f>
        <v>-6.5306651801208645E-8</v>
      </c>
      <c r="J246" s="30">
        <f>(F246-H246)/H246</f>
        <v>-0.13640151506130627</v>
      </c>
      <c r="K246" s="28">
        <f>'[1]Gurobi tests'!F223</f>
        <v>62091.683999999899</v>
      </c>
      <c r="L246" s="32">
        <f>'[1]Gurobi tests'!G223</f>
        <v>31.53</v>
      </c>
      <c r="M246" s="29">
        <f>'[1]Gurobi tests'!H223/100</f>
        <v>0</v>
      </c>
      <c r="N246" s="29">
        <f>(C246-K246)/K246</f>
        <v>-6.4420863374804745E-8</v>
      </c>
      <c r="O246" s="29">
        <f>(F246-L246)/L246</f>
        <v>-0.23926419283222339</v>
      </c>
      <c r="P246" s="14"/>
      <c r="Q246" s="20"/>
      <c r="R246" s="20"/>
      <c r="S246" s="2"/>
      <c r="T246" s="2"/>
      <c r="U246" s="2"/>
    </row>
    <row r="247" spans="1:21" x14ac:dyDescent="0.2">
      <c r="A247" s="19" t="s">
        <v>110</v>
      </c>
      <c r="B247" s="14" t="s">
        <v>290</v>
      </c>
      <c r="C247" s="28">
        <f>[1]ALNS!Z414</f>
        <v>106724.82000000002</v>
      </c>
      <c r="D247" s="28">
        <f>[1]ALNS!AA414</f>
        <v>106724.82</v>
      </c>
      <c r="E247" s="29">
        <f>[1]ALNS!AD414</f>
        <v>1.5244378792788151E-16</v>
      </c>
      <c r="F247" s="28">
        <f>[1]ALNS!AE414</f>
        <v>32.676000000000002</v>
      </c>
      <c r="G247" s="28">
        <f>'[1]PFB tests'!F246</f>
        <v>107325.276164999</v>
      </c>
      <c r="H247" s="28">
        <f>'[1]PFB tests'!G246</f>
        <v>33.676978874998802</v>
      </c>
      <c r="I247" s="30">
        <f t="shared" si="61"/>
        <v>-5.5947320748176051E-3</v>
      </c>
      <c r="J247" s="30">
        <f t="shared" ref="J247:J252" si="62">(F247-H247)/H247</f>
        <v>-2.9722941559401861E-2</v>
      </c>
      <c r="K247" s="32">
        <f>'[1]Gurobi tests'!F224</f>
        <v>106724.819999999</v>
      </c>
      <c r="L247" s="32">
        <f>'[1]Gurobi tests'!G224</f>
        <v>683.19</v>
      </c>
      <c r="M247" s="29">
        <f>'[1]Gurobi tests'!H224/100</f>
        <v>0</v>
      </c>
      <c r="N247" s="29">
        <f>(C247-K247)/K247</f>
        <v>9.5444908315206261E-15</v>
      </c>
      <c r="O247" s="29">
        <f>(F247-L247)/L247</f>
        <v>-0.9521714310806656</v>
      </c>
      <c r="P247" s="14"/>
      <c r="Q247" s="20"/>
      <c r="R247" s="20"/>
      <c r="S247" s="2"/>
      <c r="T247" s="2"/>
      <c r="U247" s="2"/>
    </row>
    <row r="248" spans="1:21" x14ac:dyDescent="0.2">
      <c r="A248" s="19" t="s">
        <v>111</v>
      </c>
      <c r="B248" s="14" t="s">
        <v>290</v>
      </c>
      <c r="C248" s="28">
        <f>[1]ALNS!Z415</f>
        <v>140678.07599999997</v>
      </c>
      <c r="D248" s="28">
        <f>[1]ALNS!AA415</f>
        <v>140474.46</v>
      </c>
      <c r="E248" s="29">
        <f>[1]ALNS!AD415</f>
        <v>1.321279991879911E-3</v>
      </c>
      <c r="F248" s="28">
        <f>[1]ALNS!AE415</f>
        <v>42.037999999999997</v>
      </c>
      <c r="G248" s="28">
        <f>'[1]PFB tests'!F247</f>
        <v>140813.82011</v>
      </c>
      <c r="H248" s="28">
        <f>'[1]PFB tests'!G247</f>
        <v>41.755534457999602</v>
      </c>
      <c r="I248" s="30">
        <f t="shared" si="61"/>
        <v>-9.639970699892174E-4</v>
      </c>
      <c r="J248" s="30">
        <f t="shared" si="62"/>
        <v>6.7647449773279031E-3</v>
      </c>
      <c r="K248" s="32">
        <f>'[1]Gurobi tests'!F225</f>
        <v>140474.46</v>
      </c>
      <c r="L248" s="32">
        <f>'[1]Gurobi tests'!G225</f>
        <v>1749.89</v>
      </c>
      <c r="M248" s="29">
        <f>'[1]Gurobi tests'!H225/100</f>
        <v>0</v>
      </c>
      <c r="N248" s="29">
        <f>(C248-K248)/K248</f>
        <v>1.4494876862312194E-3</v>
      </c>
      <c r="O248" s="29">
        <f>(F248-L248)/L248</f>
        <v>-0.97597677568304297</v>
      </c>
      <c r="P248" s="14"/>
      <c r="Q248" s="20"/>
      <c r="R248" s="20"/>
      <c r="S248" s="2"/>
      <c r="T248" s="2"/>
      <c r="U248" s="2"/>
    </row>
    <row r="249" spans="1:21" ht="17" x14ac:dyDescent="0.2">
      <c r="A249" s="19" t="s">
        <v>112</v>
      </c>
      <c r="B249" s="14" t="s">
        <v>290</v>
      </c>
      <c r="C249" s="28">
        <f>[1]ALNS!Z416</f>
        <v>171577.04</v>
      </c>
      <c r="D249" s="28">
        <f>[1]ALNS!AA416</f>
        <v>171577.04</v>
      </c>
      <c r="E249" s="29">
        <f>[1]ALNS!AD416</f>
        <v>0</v>
      </c>
      <c r="F249" s="28">
        <f>[1]ALNS!AE416</f>
        <v>57.734000000000002</v>
      </c>
      <c r="G249" s="28">
        <f>'[1]PFB tests'!F248</f>
        <v>171577.044165</v>
      </c>
      <c r="H249" s="28">
        <f>'[1]PFB tests'!G248</f>
        <v>59.267438582999603</v>
      </c>
      <c r="I249" s="30">
        <f t="shared" si="61"/>
        <v>-2.4274809089171307E-8</v>
      </c>
      <c r="J249" s="30">
        <f t="shared" si="62"/>
        <v>-2.5873204910857338E-2</v>
      </c>
      <c r="K249" s="32" t="str">
        <f>'[1]Gurobi tests'!F226</f>
        <v>Infeasible</v>
      </c>
      <c r="L249" s="32">
        <f>'[1]Gurobi tests'!G226</f>
        <v>3751.47</v>
      </c>
      <c r="M249" s="29" t="s">
        <v>32</v>
      </c>
      <c r="N249" s="29" t="s">
        <v>32</v>
      </c>
      <c r="O249" s="29">
        <f t="shared" ref="O249:O251" si="63">(F249-L249)/L249</f>
        <v>-0.98461029942929046</v>
      </c>
      <c r="P249" s="14"/>
      <c r="Q249" s="20"/>
      <c r="R249" s="20"/>
      <c r="S249" s="2"/>
      <c r="T249" s="2"/>
      <c r="U249" s="2"/>
    </row>
    <row r="250" spans="1:21" x14ac:dyDescent="0.2">
      <c r="A250" s="19" t="s">
        <v>113</v>
      </c>
      <c r="B250" s="14" t="s">
        <v>290</v>
      </c>
      <c r="C250" s="28">
        <f>[1]ALNS!Z417</f>
        <v>198401.83</v>
      </c>
      <c r="D250" s="28">
        <f>[1]ALNS!AA417</f>
        <v>198401.83</v>
      </c>
      <c r="E250" s="29">
        <f>[1]ALNS!AD417</f>
        <v>0</v>
      </c>
      <c r="F250" s="28">
        <f>[1]ALNS!AE417</f>
        <v>66.89</v>
      </c>
      <c r="G250" s="28">
        <f>'[1]PFB tests'!F249</f>
        <v>198273.93622</v>
      </c>
      <c r="H250" s="28">
        <f>'[1]PFB tests'!G249</f>
        <v>119.55376541699999</v>
      </c>
      <c r="I250" s="30">
        <f t="shared" si="61"/>
        <v>6.4503576434814963E-4</v>
      </c>
      <c r="J250" s="30">
        <f t="shared" si="62"/>
        <v>-0.44050277490893186</v>
      </c>
      <c r="K250" s="32">
        <f>'[1]Gurobi tests'!F227</f>
        <v>455663.576</v>
      </c>
      <c r="L250" s="32">
        <f>'[1]Gurobi tests'!G227</f>
        <v>3840.16</v>
      </c>
      <c r="M250" s="29">
        <f>'[1]Gurobi tests'!H227/100</f>
        <v>0.75196815761845703</v>
      </c>
      <c r="N250" s="29">
        <f t="shared" ref="N250" si="64">(C250-K250)/K250</f>
        <v>-0.56458703207824545</v>
      </c>
      <c r="O250" s="29">
        <f t="shared" si="63"/>
        <v>-0.98258145493937754</v>
      </c>
      <c r="P250" s="14"/>
      <c r="Q250" s="20"/>
      <c r="R250" s="20"/>
      <c r="S250" s="2"/>
      <c r="T250" s="2"/>
      <c r="U250" s="2"/>
    </row>
    <row r="251" spans="1:21" ht="17" x14ac:dyDescent="0.2">
      <c r="A251" s="19" t="s">
        <v>114</v>
      </c>
      <c r="B251" s="14" t="s">
        <v>290</v>
      </c>
      <c r="C251" s="28">
        <f>[1]ALNS!Z418</f>
        <v>227094.48199999999</v>
      </c>
      <c r="D251" s="28">
        <f>[1]ALNS!AA418</f>
        <v>226392.65</v>
      </c>
      <c r="E251" s="29">
        <f>[1]ALNS!AD418</f>
        <v>4.2322753049309735E-3</v>
      </c>
      <c r="F251" s="28">
        <f>[1]ALNS!AE418</f>
        <v>114.476</v>
      </c>
      <c r="G251" s="28">
        <f>'[1]PFB tests'!F250</f>
        <v>226130.48416499901</v>
      </c>
      <c r="H251" s="28">
        <f>'[1]PFB tests'!G250</f>
        <v>1021.543511083</v>
      </c>
      <c r="I251" s="30">
        <f t="shared" si="61"/>
        <v>4.2630158360143231E-3</v>
      </c>
      <c r="J251" s="30">
        <f t="shared" si="62"/>
        <v>-0.88793820453263217</v>
      </c>
      <c r="K251" s="32" t="str">
        <f>'[1]Gurobi tests'!F228</f>
        <v>Infeasible</v>
      </c>
      <c r="L251" s="28">
        <f>'[1]Gurobi tests'!G228</f>
        <v>3925</v>
      </c>
      <c r="M251" s="29" t="s">
        <v>32</v>
      </c>
      <c r="N251" s="29" t="s">
        <v>32</v>
      </c>
      <c r="O251" s="29">
        <f t="shared" si="63"/>
        <v>-0.97083414012738856</v>
      </c>
      <c r="P251" s="14"/>
      <c r="Q251" s="20"/>
      <c r="R251" s="20"/>
      <c r="S251" s="2"/>
      <c r="T251" s="2"/>
      <c r="U251" s="2"/>
    </row>
    <row r="252" spans="1:21" ht="17" x14ac:dyDescent="0.2">
      <c r="A252" s="19" t="s">
        <v>115</v>
      </c>
      <c r="B252" s="14" t="s">
        <v>290</v>
      </c>
      <c r="C252" s="28">
        <f>[1]ALNS!Z419</f>
        <v>257558.72000000003</v>
      </c>
      <c r="D252" s="28">
        <f>[1]ALNS!AA419</f>
        <v>257558.72</v>
      </c>
      <c r="E252" s="29">
        <f>[1]ALNS!AD419</f>
        <v>1.263365171772971E-16</v>
      </c>
      <c r="F252" s="28">
        <f>[1]ALNS!AE419</f>
        <v>113.25400000000002</v>
      </c>
      <c r="G252" s="28">
        <f>'[1]PFB tests'!F251</f>
        <v>260423.06427499899</v>
      </c>
      <c r="H252" s="28">
        <f>'[1]PFB tests'!G251</f>
        <v>1470.0103148329999</v>
      </c>
      <c r="I252" s="30">
        <f t="shared" si="61"/>
        <v>-1.0998811810210099E-2</v>
      </c>
      <c r="J252" s="30">
        <f t="shared" si="62"/>
        <v>-0.92295700318751428</v>
      </c>
      <c r="K252" s="58" t="s">
        <v>15</v>
      </c>
      <c r="L252" s="58" t="s">
        <v>32</v>
      </c>
      <c r="M252" s="59" t="s">
        <v>32</v>
      </c>
      <c r="N252" s="59" t="s">
        <v>32</v>
      </c>
      <c r="O252" s="29" t="s">
        <v>32</v>
      </c>
      <c r="P252" s="14"/>
      <c r="Q252" s="20"/>
      <c r="R252" s="20"/>
      <c r="S252" s="2"/>
      <c r="T252" s="2"/>
      <c r="U252" s="2"/>
    </row>
    <row r="253" spans="1:21" ht="17" x14ac:dyDescent="0.2">
      <c r="A253" s="19" t="s">
        <v>116</v>
      </c>
      <c r="B253" s="14" t="s">
        <v>290</v>
      </c>
      <c r="C253" s="28">
        <f>[1]ALNS!Z420</f>
        <v>287929.01199999999</v>
      </c>
      <c r="D253" s="28">
        <f>[1]ALNS!AA420</f>
        <v>287887.48</v>
      </c>
      <c r="E253" s="29">
        <f>[1]ALNS!AD420</f>
        <v>1.9751407734407234E-4</v>
      </c>
      <c r="F253" s="28">
        <f>[1]ALNS!AE420</f>
        <v>149.69800000000001</v>
      </c>
      <c r="G253" s="28" t="str">
        <f>'[1]PFB tests'!F252</f>
        <v>Infeasible</v>
      </c>
      <c r="H253" s="28" t="str">
        <f>'[1]PFB tests'!G252</f>
        <v>-</v>
      </c>
      <c r="I253" s="30" t="s">
        <v>32</v>
      </c>
      <c r="J253" s="30" t="s">
        <v>32</v>
      </c>
      <c r="K253" s="58" t="s">
        <v>15</v>
      </c>
      <c r="L253" s="58" t="s">
        <v>32</v>
      </c>
      <c r="M253" s="59" t="s">
        <v>32</v>
      </c>
      <c r="N253" s="59" t="s">
        <v>32</v>
      </c>
      <c r="O253" s="32" t="s">
        <v>32</v>
      </c>
      <c r="P253" s="14"/>
      <c r="Q253" s="20"/>
      <c r="R253" s="20"/>
      <c r="S253" s="2"/>
      <c r="T253" s="2"/>
      <c r="U253" s="2"/>
    </row>
    <row r="254" spans="1:21" ht="17" x14ac:dyDescent="0.2">
      <c r="A254" s="19" t="s">
        <v>117</v>
      </c>
      <c r="B254" s="14" t="s">
        <v>290</v>
      </c>
      <c r="C254" s="28">
        <f>[1]ALNS!Z421</f>
        <v>340043.39199999999</v>
      </c>
      <c r="D254" s="28">
        <f>[1]ALNS!AA421</f>
        <v>339823.55</v>
      </c>
      <c r="E254" s="29">
        <f>[1]ALNS!AD421</f>
        <v>8.9183052360338995E-4</v>
      </c>
      <c r="F254" s="28">
        <f>[1]ALNS!AE421</f>
        <v>296.89</v>
      </c>
      <c r="G254" s="58" t="s">
        <v>15</v>
      </c>
      <c r="H254" s="58" t="s">
        <v>32</v>
      </c>
      <c r="I254" s="59" t="s">
        <v>32</v>
      </c>
      <c r="J254" s="59" t="s">
        <v>32</v>
      </c>
      <c r="K254" s="58" t="s">
        <v>15</v>
      </c>
      <c r="L254" s="58" t="s">
        <v>32</v>
      </c>
      <c r="M254" s="59" t="s">
        <v>32</v>
      </c>
      <c r="N254" s="59" t="s">
        <v>32</v>
      </c>
      <c r="O254" s="32" t="s">
        <v>32</v>
      </c>
      <c r="P254" s="14"/>
      <c r="Q254" s="20"/>
      <c r="R254" s="20"/>
      <c r="S254" s="2"/>
      <c r="T254" s="2"/>
      <c r="U254" s="2"/>
    </row>
    <row r="255" spans="1:21" ht="17" x14ac:dyDescent="0.2">
      <c r="A255" s="19" t="s">
        <v>118</v>
      </c>
      <c r="B255" s="14" t="s">
        <v>290</v>
      </c>
      <c r="C255" s="28">
        <f>[1]ALNS!Z422</f>
        <v>393352.04800000001</v>
      </c>
      <c r="D255" s="28">
        <f>[1]ALNS!AA422</f>
        <v>383171.2</v>
      </c>
      <c r="E255" s="29">
        <f>[1]ALNS!AD422</f>
        <v>1.4468634593579627E-2</v>
      </c>
      <c r="F255" s="28">
        <f>[1]ALNS!AE422</f>
        <v>341.89400000000001</v>
      </c>
      <c r="G255" s="58" t="s">
        <v>15</v>
      </c>
      <c r="H255" s="58" t="s">
        <v>32</v>
      </c>
      <c r="I255" s="59" t="s">
        <v>32</v>
      </c>
      <c r="J255" s="59" t="s">
        <v>32</v>
      </c>
      <c r="K255" s="58" t="s">
        <v>15</v>
      </c>
      <c r="L255" s="58" t="s">
        <v>32</v>
      </c>
      <c r="M255" s="59" t="s">
        <v>32</v>
      </c>
      <c r="N255" s="59" t="s">
        <v>32</v>
      </c>
      <c r="O255" s="32" t="s">
        <v>32</v>
      </c>
      <c r="P255" s="14"/>
      <c r="Q255" s="20"/>
      <c r="R255" s="20"/>
      <c r="S255" s="2"/>
      <c r="T255" s="2"/>
      <c r="U255" s="2"/>
    </row>
    <row r="256" spans="1:21" x14ac:dyDescent="0.2">
      <c r="A256" s="14"/>
      <c r="B256" s="14"/>
      <c r="C256" s="28"/>
      <c r="D256" s="28"/>
      <c r="E256" s="29"/>
      <c r="F256" s="28"/>
      <c r="G256" s="28"/>
      <c r="H256" s="28"/>
      <c r="I256" s="30"/>
      <c r="J256" s="30"/>
      <c r="K256" s="32"/>
      <c r="L256" s="32"/>
      <c r="M256" s="32"/>
      <c r="N256" s="32"/>
      <c r="O256" s="32"/>
      <c r="P256" s="14"/>
      <c r="Q256" s="20"/>
      <c r="R256" s="20"/>
      <c r="S256" s="2"/>
      <c r="T256" s="2"/>
      <c r="U256" s="2"/>
    </row>
    <row r="257" spans="1:21" x14ac:dyDescent="0.2">
      <c r="A257" s="19" t="s">
        <v>119</v>
      </c>
      <c r="B257" s="14" t="s">
        <v>290</v>
      </c>
      <c r="C257" s="28">
        <f>[1]ALNS!Z424</f>
        <v>81002.429999999993</v>
      </c>
      <c r="D257" s="28">
        <f>[1]ALNS!AA424</f>
        <v>81002.429999999993</v>
      </c>
      <c r="E257" s="29">
        <f>[1]ALNS!AD424</f>
        <v>0</v>
      </c>
      <c r="F257" s="28">
        <f>[1]ALNS!AE424</f>
        <v>27.657999999999998</v>
      </c>
      <c r="G257" s="28">
        <f>'[1]PFB tests'!F256</f>
        <v>81002.427499999903</v>
      </c>
      <c r="H257" s="28">
        <f>'[1]PFB tests'!G256</f>
        <v>30.563066042001001</v>
      </c>
      <c r="I257" s="30">
        <f t="shared" ref="I257:I263" si="65">(C257-G257)/G257</f>
        <v>3.0863273691887826E-8</v>
      </c>
      <c r="J257" s="30">
        <f>(F257-H257)/H257</f>
        <v>-9.5051525197398193E-2</v>
      </c>
      <c r="K257" s="28">
        <f>'[1]Gurobi tests'!F231</f>
        <v>81002.427499999903</v>
      </c>
      <c r="L257" s="32">
        <f>'[1]Gurobi tests'!G231</f>
        <v>38.42</v>
      </c>
      <c r="M257" s="29">
        <f>'[1]Gurobi tests'!H231/100</f>
        <v>0</v>
      </c>
      <c r="N257" s="29">
        <f>(C257-K257)/K257</f>
        <v>3.0863273691887826E-8</v>
      </c>
      <c r="O257" s="29">
        <f>(F257-L257)/L257</f>
        <v>-0.28011452368558054</v>
      </c>
      <c r="P257" s="14"/>
      <c r="Q257" s="20"/>
      <c r="R257" s="20"/>
      <c r="S257" s="2"/>
      <c r="T257" s="2"/>
      <c r="U257" s="2"/>
    </row>
    <row r="258" spans="1:21" x14ac:dyDescent="0.2">
      <c r="A258" s="19" t="s">
        <v>120</v>
      </c>
      <c r="B258" s="14" t="s">
        <v>290</v>
      </c>
      <c r="C258" s="28">
        <f>[1]ALNS!Z425</f>
        <v>149823.58199999999</v>
      </c>
      <c r="D258" s="28">
        <f>[1]ALNS!AA425</f>
        <v>148925.73000000001</v>
      </c>
      <c r="E258" s="29">
        <f>[1]ALNS!AD425</f>
        <v>9.2261591643278927E-3</v>
      </c>
      <c r="F258" s="28">
        <f>[1]ALNS!AE425</f>
        <v>40.387999999999998</v>
      </c>
      <c r="G258" s="28">
        <f>'[1]PFB tests'!F257</f>
        <v>148925.73499999999</v>
      </c>
      <c r="H258" s="28">
        <f>'[1]PFB tests'!G257</f>
        <v>52.033094541000501</v>
      </c>
      <c r="I258" s="30">
        <f t="shared" si="65"/>
        <v>6.028823695246553E-3</v>
      </c>
      <c r="J258" s="30">
        <f t="shared" ref="J258:J263" si="66">(F258-H258)/H258</f>
        <v>-0.22380169089932797</v>
      </c>
      <c r="K258" s="28">
        <f>'[1]Gurobi tests'!F232</f>
        <v>148925.73499999</v>
      </c>
      <c r="L258" s="32">
        <f>'[1]Gurobi tests'!G232</f>
        <v>3672.64</v>
      </c>
      <c r="M258" s="29">
        <f>'[1]Gurobi tests'!H232/100</f>
        <v>0.25776156504665299</v>
      </c>
      <c r="N258" s="29">
        <f>(C258-K258)/K258</f>
        <v>6.0288236953139878E-3</v>
      </c>
      <c r="O258" s="29">
        <f>(F258-L258)/L258</f>
        <v>-0.98900300601202407</v>
      </c>
      <c r="P258" s="14"/>
      <c r="Q258" s="20"/>
      <c r="R258" s="20"/>
      <c r="S258" s="2"/>
      <c r="T258" s="2"/>
      <c r="U258" s="2"/>
    </row>
    <row r="259" spans="1:21" x14ac:dyDescent="0.2">
      <c r="A259" s="19" t="s">
        <v>121</v>
      </c>
      <c r="B259" s="14" t="s">
        <v>290</v>
      </c>
      <c r="C259" s="28">
        <f>[1]ALNS!Z426</f>
        <v>190519.12399999998</v>
      </c>
      <c r="D259" s="28">
        <f>[1]ALNS!AA426</f>
        <v>189211.38</v>
      </c>
      <c r="E259" s="29">
        <f>[1]ALNS!AD426</f>
        <v>1.5295347826258875E-2</v>
      </c>
      <c r="F259" s="28">
        <f>[1]ALNS!AE426</f>
        <v>56.036000000000001</v>
      </c>
      <c r="G259" s="28">
        <f>'[1]PFB tests'!F258</f>
        <v>191841.33199999901</v>
      </c>
      <c r="H259" s="28">
        <f>'[1]PFB tests'!G258</f>
        <v>46.620155290998802</v>
      </c>
      <c r="I259" s="30">
        <f t="shared" si="65"/>
        <v>-6.892195681788899E-3</v>
      </c>
      <c r="J259" s="30">
        <f t="shared" si="66"/>
        <v>0.2019693982190395</v>
      </c>
      <c r="K259" s="28">
        <f>'[1]Gurobi tests'!F233</f>
        <v>230947.819935632</v>
      </c>
      <c r="L259" s="32">
        <f>'[1]Gurobi tests'!G233</f>
        <v>3689.91</v>
      </c>
      <c r="M259" s="29">
        <f>'[1]Gurobi tests'!H233/100</f>
        <v>0.50911704045168893</v>
      </c>
      <c r="N259" s="29">
        <f>(C259-K259)/K259</f>
        <v>-0.17505554261954059</v>
      </c>
      <c r="O259" s="29">
        <f>(F259-L259)/L259</f>
        <v>-0.9848137217438907</v>
      </c>
      <c r="P259" s="14"/>
      <c r="Q259" s="20"/>
      <c r="R259" s="20"/>
      <c r="S259" s="2"/>
      <c r="T259" s="2"/>
      <c r="U259" s="2"/>
    </row>
    <row r="260" spans="1:21" ht="17" x14ac:dyDescent="0.2">
      <c r="A260" s="19" t="s">
        <v>122</v>
      </c>
      <c r="B260" s="14" t="s">
        <v>290</v>
      </c>
      <c r="C260" s="28">
        <f>[1]ALNS!Z427</f>
        <v>231804.29800000001</v>
      </c>
      <c r="D260" s="28">
        <f>[1]ALNS!AA427</f>
        <v>230595.63</v>
      </c>
      <c r="E260" s="29">
        <f>[1]ALNS!AD427</f>
        <v>4.0168826932142181E-3</v>
      </c>
      <c r="F260" s="28">
        <f>[1]ALNS!AE427</f>
        <v>217.43800000000002</v>
      </c>
      <c r="G260" s="28">
        <f>'[1]PFB tests'!F259</f>
        <v>240059.09692499999</v>
      </c>
      <c r="H260" s="28">
        <f>'[1]PFB tests'!G259</f>
        <v>93.442975334000906</v>
      </c>
      <c r="I260" s="30">
        <f t="shared" si="65"/>
        <v>-3.4386528278821986E-2</v>
      </c>
      <c r="J260" s="30">
        <f t="shared" si="66"/>
        <v>1.3269592949367623</v>
      </c>
      <c r="K260" s="28" t="str">
        <f>'[1]Gurobi tests'!F234</f>
        <v>Infeasible</v>
      </c>
      <c r="L260" s="32">
        <f>'[1]Gurobi tests'!G234</f>
        <v>3750.32</v>
      </c>
      <c r="M260" s="29" t="s">
        <v>32</v>
      </c>
      <c r="N260" s="29" t="s">
        <v>32</v>
      </c>
      <c r="O260" s="29">
        <f t="shared" ref="O260:O261" si="67">(F260-L260)/L260</f>
        <v>-0.94202148083363546</v>
      </c>
      <c r="P260" s="14"/>
      <c r="Q260" s="20"/>
      <c r="R260" s="20"/>
      <c r="S260" s="2"/>
      <c r="T260" s="2"/>
      <c r="U260" s="2"/>
    </row>
    <row r="261" spans="1:21" ht="17" x14ac:dyDescent="0.2">
      <c r="A261" s="19" t="s">
        <v>123</v>
      </c>
      <c r="B261" s="14" t="s">
        <v>290</v>
      </c>
      <c r="C261" s="28">
        <f>[1]ALNS!Z428</f>
        <v>267176.14</v>
      </c>
      <c r="D261" s="28">
        <f>[1]ALNS!AA428</f>
        <v>266125.90000000002</v>
      </c>
      <c r="E261" s="29">
        <f>[1]ALNS!AD428</f>
        <v>4.1357520430143095E-3</v>
      </c>
      <c r="F261" s="28">
        <f>[1]ALNS!AE428</f>
        <v>289.05</v>
      </c>
      <c r="G261" s="28">
        <f>'[1]PFB tests'!F260</f>
        <v>268885.47899999999</v>
      </c>
      <c r="H261" s="28">
        <f>'[1]PFB tests'!G260</f>
        <v>266.004207458998</v>
      </c>
      <c r="I261" s="30">
        <f t="shared" si="65"/>
        <v>-6.3571264850638444E-3</v>
      </c>
      <c r="J261" s="30">
        <f t="shared" si="66"/>
        <v>8.6636947442097517E-2</v>
      </c>
      <c r="K261" s="28" t="str">
        <f>'[1]Gurobi tests'!F235</f>
        <v>Infeasible</v>
      </c>
      <c r="L261" s="32">
        <f>'[1]Gurobi tests'!G235</f>
        <v>3840.59</v>
      </c>
      <c r="M261" s="29" t="s">
        <v>32</v>
      </c>
      <c r="N261" s="29" t="s">
        <v>32</v>
      </c>
      <c r="O261" s="29">
        <f t="shared" si="67"/>
        <v>-0.92473812617332229</v>
      </c>
      <c r="P261" s="14"/>
      <c r="Q261" s="20"/>
      <c r="R261" s="20"/>
      <c r="S261" s="2"/>
      <c r="T261" s="2"/>
      <c r="U261" s="2"/>
    </row>
    <row r="262" spans="1:21" ht="17" x14ac:dyDescent="0.2">
      <c r="A262" s="19" t="s">
        <v>124</v>
      </c>
      <c r="B262" s="14" t="s">
        <v>290</v>
      </c>
      <c r="C262" s="28">
        <f>[1]ALNS!Z429</f>
        <v>308833.72600000002</v>
      </c>
      <c r="D262" s="28">
        <f>[1]ALNS!AA429</f>
        <v>307782</v>
      </c>
      <c r="E262" s="29">
        <f>[1]ALNS!AD429</f>
        <v>2.5363197791559958E-3</v>
      </c>
      <c r="F262" s="28">
        <f>[1]ALNS!AE429</f>
        <v>735.52599999999995</v>
      </c>
      <c r="G262" s="28">
        <f>'[1]PFB tests'!F261</f>
        <v>313014.44049999898</v>
      </c>
      <c r="H262" s="28">
        <f>'[1]PFB tests'!G261</f>
        <v>887.81593262499803</v>
      </c>
      <c r="I262" s="30">
        <f t="shared" si="65"/>
        <v>-1.3356299132144889E-2</v>
      </c>
      <c r="J262" s="30">
        <f t="shared" si="66"/>
        <v>-0.17153322781077343</v>
      </c>
      <c r="K262" s="58" t="s">
        <v>15</v>
      </c>
      <c r="L262" s="58" t="s">
        <v>32</v>
      </c>
      <c r="M262" s="59" t="s">
        <v>32</v>
      </c>
      <c r="N262" s="59" t="s">
        <v>32</v>
      </c>
      <c r="O262" s="32" t="s">
        <v>32</v>
      </c>
      <c r="P262" s="14"/>
      <c r="Q262" s="20"/>
      <c r="R262" s="20"/>
      <c r="S262" s="2"/>
      <c r="T262" s="2"/>
      <c r="U262" s="2"/>
    </row>
    <row r="263" spans="1:21" ht="17" x14ac:dyDescent="0.2">
      <c r="A263" s="19" t="s">
        <v>125</v>
      </c>
      <c r="B263" s="14" t="s">
        <v>290</v>
      </c>
      <c r="C263" s="28">
        <f>[1]ALNS!Z430</f>
        <v>356101.14799999993</v>
      </c>
      <c r="D263" s="28">
        <f>[1]ALNS!AA430</f>
        <v>337230.25</v>
      </c>
      <c r="E263" s="29">
        <f>[1]ALNS!AD430</f>
        <v>4.8407116768414277E-2</v>
      </c>
      <c r="F263" s="28">
        <f>[1]ALNS!AE430</f>
        <v>326.45</v>
      </c>
      <c r="G263" s="28">
        <f>'[1]PFB tests'!F262</f>
        <v>346131.87799999898</v>
      </c>
      <c r="H263" s="28">
        <f>'[1]PFB tests'!G262</f>
        <v>2732.3385221669901</v>
      </c>
      <c r="I263" s="30">
        <f t="shared" si="65"/>
        <v>2.8801941206932056E-2</v>
      </c>
      <c r="J263" s="30">
        <f t="shared" si="66"/>
        <v>-0.88052358909719008</v>
      </c>
      <c r="K263" s="58" t="s">
        <v>15</v>
      </c>
      <c r="L263" s="58" t="s">
        <v>32</v>
      </c>
      <c r="M263" s="59" t="s">
        <v>32</v>
      </c>
      <c r="N263" s="59" t="s">
        <v>32</v>
      </c>
      <c r="O263" s="32" t="s">
        <v>32</v>
      </c>
      <c r="P263" s="14"/>
      <c r="Q263" s="20"/>
      <c r="R263" s="20"/>
      <c r="S263" s="2"/>
      <c r="T263" s="2"/>
      <c r="U263" s="2"/>
    </row>
    <row r="264" spans="1:21" ht="17" x14ac:dyDescent="0.2">
      <c r="A264" s="19" t="s">
        <v>126</v>
      </c>
      <c r="B264" s="14" t="s">
        <v>290</v>
      </c>
      <c r="C264" s="28">
        <f>[1]ALNS!Z431</f>
        <v>381342.12800000003</v>
      </c>
      <c r="D264" s="28">
        <f>[1]ALNS!AA431</f>
        <v>380901.88</v>
      </c>
      <c r="E264" s="29">
        <f>[1]ALNS!AD431</f>
        <v>7.8803672060009185E-4</v>
      </c>
      <c r="F264" s="28">
        <f>[1]ALNS!AE431</f>
        <v>394.71600000000001</v>
      </c>
      <c r="G264" s="28" t="str">
        <f>'[1]PFB tests'!F263</f>
        <v>Infeasible</v>
      </c>
      <c r="H264" s="28" t="str">
        <f>'[1]PFB tests'!G263</f>
        <v>-</v>
      </c>
      <c r="I264" s="30"/>
      <c r="J264" s="30"/>
      <c r="K264" s="58" t="s">
        <v>15</v>
      </c>
      <c r="L264" s="58" t="s">
        <v>32</v>
      </c>
      <c r="M264" s="59" t="s">
        <v>32</v>
      </c>
      <c r="N264" s="59" t="s">
        <v>32</v>
      </c>
      <c r="O264" s="32" t="s">
        <v>32</v>
      </c>
      <c r="P264" s="14"/>
      <c r="Q264" s="20"/>
      <c r="R264" s="20"/>
      <c r="S264" s="2"/>
      <c r="T264" s="2"/>
      <c r="U264" s="2"/>
    </row>
    <row r="265" spans="1:21" ht="17" x14ac:dyDescent="0.2">
      <c r="A265" s="19" t="s">
        <v>127</v>
      </c>
      <c r="B265" s="14" t="s">
        <v>290</v>
      </c>
      <c r="C265" s="28">
        <f>[1]ALNS!Z432</f>
        <v>448087.06599999999</v>
      </c>
      <c r="D265" s="28">
        <f>[1]ALNS!AA432</f>
        <v>436748.18</v>
      </c>
      <c r="E265" s="29">
        <f>[1]ALNS!AD432</f>
        <v>2.1652890062272816E-2</v>
      </c>
      <c r="F265" s="28">
        <f>[1]ALNS!AE432</f>
        <v>409.11399999999998</v>
      </c>
      <c r="G265" s="58" t="s">
        <v>15</v>
      </c>
      <c r="H265" s="58" t="s">
        <v>32</v>
      </c>
      <c r="I265" s="59" t="s">
        <v>32</v>
      </c>
      <c r="J265" s="59" t="s">
        <v>32</v>
      </c>
      <c r="K265" s="58" t="s">
        <v>15</v>
      </c>
      <c r="L265" s="58" t="s">
        <v>32</v>
      </c>
      <c r="M265" s="59" t="s">
        <v>32</v>
      </c>
      <c r="N265" s="59" t="s">
        <v>32</v>
      </c>
      <c r="O265" s="32" t="s">
        <v>32</v>
      </c>
      <c r="P265" s="14"/>
      <c r="Q265" s="20"/>
      <c r="R265" s="20"/>
      <c r="S265" s="2"/>
      <c r="T265" s="2"/>
      <c r="U265" s="2"/>
    </row>
    <row r="266" spans="1:21" ht="17" x14ac:dyDescent="0.2">
      <c r="A266" s="19" t="s">
        <v>128</v>
      </c>
      <c r="B266" s="14" t="s">
        <v>290</v>
      </c>
      <c r="C266" s="28">
        <f>[1]ALNS!Z433</f>
        <v>518457.86199999991</v>
      </c>
      <c r="D266" s="28">
        <f>[1]ALNS!AA433</f>
        <v>503074.9</v>
      </c>
      <c r="E266" s="29">
        <f>[1]ALNS!AD433</f>
        <v>1.6678057011578956E-2</v>
      </c>
      <c r="F266" s="28">
        <f>[1]ALNS!AE433</f>
        <v>620.81000000000006</v>
      </c>
      <c r="G266" s="58" t="s">
        <v>15</v>
      </c>
      <c r="H266" s="58" t="s">
        <v>32</v>
      </c>
      <c r="I266" s="59" t="s">
        <v>32</v>
      </c>
      <c r="J266" s="59" t="s">
        <v>32</v>
      </c>
      <c r="K266" s="58" t="s">
        <v>15</v>
      </c>
      <c r="L266" s="58" t="s">
        <v>32</v>
      </c>
      <c r="M266" s="59" t="s">
        <v>32</v>
      </c>
      <c r="N266" s="59" t="s">
        <v>32</v>
      </c>
      <c r="O266" s="32" t="s">
        <v>32</v>
      </c>
      <c r="P266" s="14"/>
      <c r="Q266" s="20"/>
      <c r="R266" s="20"/>
      <c r="S266" s="2"/>
      <c r="T266" s="2"/>
      <c r="U266" s="2"/>
    </row>
    <row r="267" spans="1:21" x14ac:dyDescent="0.2">
      <c r="A267" s="19"/>
      <c r="B267" s="14"/>
      <c r="C267" s="28"/>
      <c r="D267" s="28"/>
      <c r="E267" s="29"/>
      <c r="F267" s="28"/>
      <c r="G267" s="28"/>
      <c r="H267" s="28"/>
      <c r="I267" s="30"/>
      <c r="J267" s="30"/>
      <c r="K267" s="32"/>
      <c r="L267" s="32"/>
      <c r="M267" s="32"/>
      <c r="N267" s="32"/>
      <c r="O267" s="32"/>
      <c r="P267" s="14"/>
      <c r="Q267" s="20"/>
      <c r="R267" s="20"/>
      <c r="S267" s="2"/>
      <c r="T267" s="2"/>
      <c r="U267" s="2"/>
    </row>
    <row r="268" spans="1:21" ht="17" x14ac:dyDescent="0.2">
      <c r="A268" s="19" t="s">
        <v>129</v>
      </c>
      <c r="B268" s="14" t="s">
        <v>290</v>
      </c>
      <c r="C268" s="28">
        <f>[1]ALNS!Z435</f>
        <v>101863.24</v>
      </c>
      <c r="D268" s="28">
        <f>[1]ALNS!AA435</f>
        <v>101863.24</v>
      </c>
      <c r="E268" s="29">
        <f>[1]ALNS!AD435</f>
        <v>0</v>
      </c>
      <c r="F268" s="28">
        <f>[1]ALNS!AE435</f>
        <v>28.033999999999999</v>
      </c>
      <c r="G268" s="28" t="str">
        <f>'[1]PFB tests'!F267</f>
        <v>Infeasible</v>
      </c>
      <c r="H268" s="28">
        <f>'[1]PFB tests'!G267</f>
        <v>21.936419707999399</v>
      </c>
      <c r="I268" s="30" t="s">
        <v>32</v>
      </c>
      <c r="J268" s="30">
        <f>(F268-H268)/H268</f>
        <v>0.27796606616607716</v>
      </c>
      <c r="K268" s="28">
        <f>'[1]Gurobi tests'!F239</f>
        <v>101863.24254999901</v>
      </c>
      <c r="L268" s="28">
        <f>'[1]Gurobi tests'!G239</f>
        <v>56.37</v>
      </c>
      <c r="M268" s="29">
        <f>'[1]Gurobi tests'!H239/100</f>
        <v>0</v>
      </c>
      <c r="N268" s="29">
        <f>(C268-K268)/K268</f>
        <v>-2.5033554173080397E-8</v>
      </c>
      <c r="O268" s="29">
        <f>(F268-L268)/L268</f>
        <v>-0.50267872982082673</v>
      </c>
      <c r="P268" s="14"/>
      <c r="Q268" s="20"/>
      <c r="R268" s="20"/>
      <c r="S268" s="2"/>
      <c r="T268" s="2"/>
      <c r="U268" s="2"/>
    </row>
    <row r="269" spans="1:21" ht="17" x14ac:dyDescent="0.2">
      <c r="A269" s="19" t="s">
        <v>130</v>
      </c>
      <c r="B269" s="14" t="s">
        <v>290</v>
      </c>
      <c r="C269" s="28">
        <f>[1]ALNS!Z436</f>
        <v>214555.23799999998</v>
      </c>
      <c r="D269" s="28">
        <f>[1]ALNS!AA436</f>
        <v>213797.21</v>
      </c>
      <c r="E269" s="29">
        <f>[1]ALNS!AD436</f>
        <v>3.3839411024947784E-3</v>
      </c>
      <c r="F269" s="28">
        <f>[1]ALNS!AE436</f>
        <v>77.167999999999992</v>
      </c>
      <c r="G269" s="28" t="str">
        <f>'[1]PFB tests'!F268</f>
        <v>Infeasible</v>
      </c>
      <c r="H269" s="28">
        <f>'[1]PFB tests'!G268</f>
        <v>29.450267583999398</v>
      </c>
      <c r="I269" s="30" t="s">
        <v>32</v>
      </c>
      <c r="J269" s="30">
        <f t="shared" ref="J269:J274" si="68">(F269-H269)/H269</f>
        <v>1.6202817947204688</v>
      </c>
      <c r="K269" s="28">
        <f>'[1]Gurobi tests'!F240</f>
        <v>213241.46199979199</v>
      </c>
      <c r="L269" s="32">
        <f>'[1]Gurobi tests'!G240</f>
        <v>3638.8</v>
      </c>
      <c r="M269" s="29">
        <f>'[1]Gurobi tests'!H240/100</f>
        <v>0.37630724300471996</v>
      </c>
      <c r="N269" s="29">
        <f>(C269-K269)/K269</f>
        <v>6.1609782069927382E-3</v>
      </c>
      <c r="O269" s="29">
        <f>(F269-L269)/L269</f>
        <v>-0.97879300868418162</v>
      </c>
      <c r="P269" s="14"/>
      <c r="Q269" s="20"/>
      <c r="R269" s="20"/>
      <c r="S269" s="2"/>
      <c r="T269" s="2"/>
      <c r="U269" s="2"/>
    </row>
    <row r="270" spans="1:21" ht="17" x14ac:dyDescent="0.2">
      <c r="A270" s="19" t="s">
        <v>131</v>
      </c>
      <c r="B270" s="14" t="s">
        <v>290</v>
      </c>
      <c r="C270" s="28">
        <f>[1]ALNS!Z437</f>
        <v>316593.83799999999</v>
      </c>
      <c r="D270" s="28">
        <f>[1]ALNS!AA437</f>
        <v>314957.19</v>
      </c>
      <c r="E270" s="29">
        <f>[1]ALNS!AD437</f>
        <v>4.6915910787795724E-3</v>
      </c>
      <c r="F270" s="28">
        <f>[1]ALNS!AE437</f>
        <v>130.39600000000002</v>
      </c>
      <c r="G270" s="28" t="str">
        <f>'[1]PFB tests'!F269</f>
        <v>Infeasible</v>
      </c>
      <c r="H270" s="28">
        <f>'[1]PFB tests'!G269</f>
        <v>37.720849416000398</v>
      </c>
      <c r="I270" s="30" t="s">
        <v>32</v>
      </c>
      <c r="J270" s="30">
        <f t="shared" si="68"/>
        <v>2.4568680721354266</v>
      </c>
      <c r="K270" s="28" t="str">
        <f>'[1]Gurobi tests'!F241</f>
        <v>Infeasible</v>
      </c>
      <c r="L270" s="32">
        <f>'[1]Gurobi tests'!G241</f>
        <v>3689.14</v>
      </c>
      <c r="M270" s="29" t="s">
        <v>32</v>
      </c>
      <c r="N270" s="29" t="s">
        <v>32</v>
      </c>
      <c r="O270" s="29">
        <f t="shared" ref="O270:O272" si="69">(F270-L270)/L270</f>
        <v>-0.96465409282380166</v>
      </c>
      <c r="P270" s="14"/>
      <c r="Q270" s="20"/>
      <c r="R270" s="20"/>
      <c r="S270" s="2"/>
      <c r="T270" s="2"/>
      <c r="U270" s="2"/>
    </row>
    <row r="271" spans="1:21" ht="17" x14ac:dyDescent="0.2">
      <c r="A271" s="19" t="s">
        <v>210</v>
      </c>
      <c r="B271" s="14" t="s">
        <v>290</v>
      </c>
      <c r="C271" s="28">
        <f>[1]ALNS!Z438</f>
        <v>322809.85000000003</v>
      </c>
      <c r="D271" s="28">
        <f>[1]ALNS!AA438</f>
        <v>321976.33</v>
      </c>
      <c r="E271" s="29">
        <f>[1]ALNS!AD438</f>
        <v>2.2361445741584025E-3</v>
      </c>
      <c r="F271" s="28">
        <f>[1]ALNS!AE438</f>
        <v>253.57200000000003</v>
      </c>
      <c r="G271" s="28" t="str">
        <f>'[1]PFB tests'!F270</f>
        <v>Infeasible</v>
      </c>
      <c r="H271" s="28">
        <f>'[1]PFB tests'!G270</f>
        <v>68.543372041996903</v>
      </c>
      <c r="I271" s="30" t="s">
        <v>32</v>
      </c>
      <c r="J271" s="30">
        <f t="shared" si="68"/>
        <v>2.6994386538881554</v>
      </c>
      <c r="K271" s="28" t="str">
        <f>'[1]Gurobi tests'!F242</f>
        <v>Infeasible</v>
      </c>
      <c r="L271" s="32">
        <f>'[1]Gurobi tests'!G242</f>
        <v>3749.88</v>
      </c>
      <c r="M271" s="29" t="s">
        <v>32</v>
      </c>
      <c r="N271" s="29" t="s">
        <v>32</v>
      </c>
      <c r="O271" s="29">
        <f t="shared" si="69"/>
        <v>-0.93237863611635574</v>
      </c>
      <c r="P271" s="14"/>
      <c r="Q271" s="20"/>
      <c r="R271" s="20"/>
      <c r="S271" s="2"/>
      <c r="T271" s="2"/>
      <c r="U271" s="2"/>
    </row>
    <row r="272" spans="1:21" ht="17" x14ac:dyDescent="0.2">
      <c r="A272" s="19" t="s">
        <v>133</v>
      </c>
      <c r="B272" s="14" t="s">
        <v>290</v>
      </c>
      <c r="C272" s="28">
        <f>[1]ALNS!Z439</f>
        <v>413419.14249999996</v>
      </c>
      <c r="D272" s="28">
        <f>[1]ALNS!AA439</f>
        <v>406267.09</v>
      </c>
      <c r="E272" s="29">
        <f>[1]ALNS!AD439</f>
        <v>1.3653761734020385E-2</v>
      </c>
      <c r="F272" s="28">
        <f>[1]ALNS!AE439</f>
        <v>519.99399999999991</v>
      </c>
      <c r="G272" s="28" t="str">
        <f>'[1]PFB tests'!F271</f>
        <v>Infeasible</v>
      </c>
      <c r="H272" s="28">
        <f>'[1]PFB tests'!G271</f>
        <v>213.37521974999899</v>
      </c>
      <c r="I272" s="30" t="s">
        <v>32</v>
      </c>
      <c r="J272" s="30">
        <f t="shared" si="68"/>
        <v>1.4369933894350557</v>
      </c>
      <c r="K272" s="28" t="str">
        <f>'[1]Gurobi tests'!F243</f>
        <v>Infeasible</v>
      </c>
      <c r="L272" s="32">
        <f>'[1]Gurobi tests'!G243</f>
        <v>3837.02</v>
      </c>
      <c r="M272" s="29" t="s">
        <v>32</v>
      </c>
      <c r="N272" s="29" t="s">
        <v>32</v>
      </c>
      <c r="O272" s="29">
        <f t="shared" si="69"/>
        <v>-0.86447972645438387</v>
      </c>
      <c r="P272" s="14"/>
      <c r="Q272" s="20"/>
      <c r="R272" s="20"/>
      <c r="S272" s="2"/>
      <c r="T272" s="2"/>
      <c r="U272" s="2"/>
    </row>
    <row r="273" spans="1:21" ht="17" x14ac:dyDescent="0.2">
      <c r="A273" s="19" t="s">
        <v>211</v>
      </c>
      <c r="B273" s="14" t="s">
        <v>290</v>
      </c>
      <c r="C273" s="28">
        <f>[1]ALNS!Z440</f>
        <v>432477.62333333329</v>
      </c>
      <c r="D273" s="28">
        <f>[1]ALNS!AA440</f>
        <v>428317.74</v>
      </c>
      <c r="E273" s="29">
        <f>[1]ALNS!AD440</f>
        <v>8.4460021500874886E-3</v>
      </c>
      <c r="F273" s="28">
        <f>[1]ALNS!AE440</f>
        <v>1045.9849999999999</v>
      </c>
      <c r="G273" s="28" t="str">
        <f>'[1]PFB tests'!F272</f>
        <v>Infeasible</v>
      </c>
      <c r="H273" s="28">
        <f>'[1]PFB tests'!G272</f>
        <v>517.13741424999898</v>
      </c>
      <c r="I273" s="30" t="s">
        <v>32</v>
      </c>
      <c r="J273" s="30">
        <f t="shared" si="68"/>
        <v>1.0226442163674914</v>
      </c>
      <c r="K273" s="58" t="s">
        <v>15</v>
      </c>
      <c r="L273" s="58" t="s">
        <v>32</v>
      </c>
      <c r="M273" s="59" t="s">
        <v>32</v>
      </c>
      <c r="N273" s="59" t="s">
        <v>32</v>
      </c>
      <c r="O273" s="32" t="s">
        <v>32</v>
      </c>
      <c r="P273" s="14"/>
      <c r="Q273" s="20"/>
      <c r="R273" s="20"/>
      <c r="S273" s="2"/>
      <c r="T273" s="2"/>
      <c r="U273" s="2"/>
    </row>
    <row r="274" spans="1:21" ht="17" x14ac:dyDescent="0.2">
      <c r="A274" s="19" t="s">
        <v>135</v>
      </c>
      <c r="B274" s="14" t="s">
        <v>290</v>
      </c>
      <c r="C274" s="28">
        <f>[1]ALNS!Z441</f>
        <v>406702.29200000002</v>
      </c>
      <c r="D274" s="28">
        <f>[1]ALNS!AA441</f>
        <v>405865.47</v>
      </c>
      <c r="E274" s="29">
        <f>[1]ALNS!AD441</f>
        <v>4.6008859892713583E-3</v>
      </c>
      <c r="F274" s="28">
        <f>[1]ALNS!AE441</f>
        <v>1304.7639999999999</v>
      </c>
      <c r="G274" s="28" t="str">
        <f>'[1]PFB tests'!F273</f>
        <v>Infeasible</v>
      </c>
      <c r="H274" s="28">
        <f>'[1]PFB tests'!G273</f>
        <v>3580.5657200000001</v>
      </c>
      <c r="I274" s="30" t="s">
        <v>32</v>
      </c>
      <c r="J274" s="30">
        <f t="shared" si="68"/>
        <v>-0.63559836572417394</v>
      </c>
      <c r="K274" s="58" t="s">
        <v>15</v>
      </c>
      <c r="L274" s="58" t="s">
        <v>32</v>
      </c>
      <c r="M274" s="59" t="s">
        <v>32</v>
      </c>
      <c r="N274" s="59" t="s">
        <v>32</v>
      </c>
      <c r="O274" s="32" t="s">
        <v>32</v>
      </c>
      <c r="P274" s="14"/>
      <c r="Q274" s="20"/>
      <c r="R274" s="20"/>
      <c r="S274" s="2"/>
      <c r="T274" s="2"/>
      <c r="U274" s="2"/>
    </row>
    <row r="275" spans="1:21" ht="17" x14ac:dyDescent="0.2">
      <c r="A275" s="19" t="s">
        <v>212</v>
      </c>
      <c r="B275" s="14" t="s">
        <v>290</v>
      </c>
      <c r="C275" s="28">
        <f>[1]ALNS!Z442</f>
        <v>454177.18800000008</v>
      </c>
      <c r="D275" s="28">
        <f>[1]ALNS!AA442</f>
        <v>453569.02</v>
      </c>
      <c r="E275" s="29">
        <f>[1]ALNS!AD442</f>
        <v>2.1022916291969247E-3</v>
      </c>
      <c r="F275" s="28">
        <f>[1]ALNS!AE442</f>
        <v>1820.6320000000001</v>
      </c>
      <c r="G275" s="28" t="str">
        <f>'[1]PFB tests'!F274</f>
        <v>Infeasible</v>
      </c>
      <c r="H275" s="28" t="str">
        <f>'[1]PFB tests'!G274</f>
        <v>-</v>
      </c>
      <c r="I275" s="30" t="s">
        <v>32</v>
      </c>
      <c r="J275" s="30" t="s">
        <v>32</v>
      </c>
      <c r="K275" s="58" t="s">
        <v>15</v>
      </c>
      <c r="L275" s="58" t="s">
        <v>32</v>
      </c>
      <c r="M275" s="59" t="s">
        <v>32</v>
      </c>
      <c r="N275" s="59" t="s">
        <v>32</v>
      </c>
      <c r="O275" s="32" t="s">
        <v>32</v>
      </c>
      <c r="P275" s="14"/>
      <c r="Q275" s="20"/>
      <c r="R275" s="20"/>
      <c r="S275" s="2"/>
      <c r="T275" s="2"/>
      <c r="U275" s="2"/>
    </row>
    <row r="276" spans="1:21" ht="17" x14ac:dyDescent="0.2">
      <c r="A276" s="19" t="s">
        <v>213</v>
      </c>
      <c r="B276" s="14" t="s">
        <v>290</v>
      </c>
      <c r="C276" s="28">
        <f>[1]ALNS!Z443</f>
        <v>545787.12599999993</v>
      </c>
      <c r="D276" s="28">
        <f>[1]ALNS!AA443</f>
        <v>545474.68999999994</v>
      </c>
      <c r="E276" s="29">
        <f>[1]ALNS!AD443</f>
        <v>5.2963945391981627E-4</v>
      </c>
      <c r="F276" s="28">
        <f>[1]ALNS!AE443</f>
        <v>2432.7139999999999</v>
      </c>
      <c r="G276" s="58" t="s">
        <v>15</v>
      </c>
      <c r="H276" s="58" t="s">
        <v>32</v>
      </c>
      <c r="I276" s="59" t="s">
        <v>32</v>
      </c>
      <c r="J276" s="59" t="s">
        <v>32</v>
      </c>
      <c r="K276" s="58" t="s">
        <v>15</v>
      </c>
      <c r="L276" s="58" t="s">
        <v>32</v>
      </c>
      <c r="M276" s="59" t="s">
        <v>32</v>
      </c>
      <c r="N276" s="59" t="s">
        <v>32</v>
      </c>
      <c r="O276" s="32" t="s">
        <v>32</v>
      </c>
      <c r="P276" s="14"/>
      <c r="Q276" s="20"/>
      <c r="R276" s="20"/>
      <c r="S276" s="2"/>
      <c r="T276" s="2"/>
      <c r="U276" s="2"/>
    </row>
    <row r="277" spans="1:21" ht="17" x14ac:dyDescent="0.2">
      <c r="A277" s="19" t="s">
        <v>138</v>
      </c>
      <c r="B277" s="14" t="s">
        <v>290</v>
      </c>
      <c r="C277" s="28">
        <f>[1]ALNS!Z444</f>
        <v>625048.46</v>
      </c>
      <c r="D277" s="28">
        <f>[1]ALNS!AA444</f>
        <v>622132.99</v>
      </c>
      <c r="E277" s="29">
        <f>[1]ALNS!AD444</f>
        <v>3.7637155062136538E-3</v>
      </c>
      <c r="F277" s="28">
        <f>[1]ALNS!AE444</f>
        <v>2784.5379999999996</v>
      </c>
      <c r="G277" s="58" t="s">
        <v>15</v>
      </c>
      <c r="H277" s="58" t="s">
        <v>32</v>
      </c>
      <c r="I277" s="59" t="s">
        <v>32</v>
      </c>
      <c r="J277" s="59" t="s">
        <v>32</v>
      </c>
      <c r="K277" s="58" t="s">
        <v>15</v>
      </c>
      <c r="L277" s="58" t="s">
        <v>32</v>
      </c>
      <c r="M277" s="59" t="s">
        <v>32</v>
      </c>
      <c r="N277" s="59" t="s">
        <v>32</v>
      </c>
      <c r="O277" s="32" t="s">
        <v>32</v>
      </c>
      <c r="P277" s="14"/>
      <c r="Q277" s="20"/>
      <c r="R277" s="20"/>
      <c r="S277" s="2"/>
      <c r="T277" s="2"/>
      <c r="U277" s="2"/>
    </row>
    <row r="278" spans="1:21" x14ac:dyDescent="0.2">
      <c r="A278" s="14"/>
      <c r="B278" s="14"/>
      <c r="C278" s="32"/>
      <c r="D278" s="32"/>
      <c r="E278" s="32"/>
      <c r="F278" s="32"/>
      <c r="G278" s="32"/>
      <c r="H278" s="32"/>
      <c r="I278" s="30"/>
      <c r="J278" s="30"/>
      <c r="K278" s="32"/>
      <c r="L278" s="32"/>
      <c r="M278" s="31"/>
      <c r="N278" s="30"/>
      <c r="O278" s="30"/>
      <c r="P278" s="14"/>
      <c r="Q278" s="20"/>
      <c r="R278" s="20"/>
      <c r="S278" s="2"/>
      <c r="T278" s="2"/>
      <c r="U278" s="2"/>
    </row>
    <row r="279" spans="1:21" x14ac:dyDescent="0.2">
      <c r="A279" s="19" t="s">
        <v>139</v>
      </c>
      <c r="B279" s="14" t="s">
        <v>290</v>
      </c>
      <c r="C279" s="28">
        <f>[1]ALNS!Z446</f>
        <v>106551.73000000001</v>
      </c>
      <c r="D279" s="28">
        <f>[1]ALNS!AA446</f>
        <v>106551.73</v>
      </c>
      <c r="E279" s="29">
        <f>[1]ALNS!AD446</f>
        <v>1.5269142816096302E-16</v>
      </c>
      <c r="F279" s="28">
        <f>[1]ALNS!AE446</f>
        <v>24.422000000000004</v>
      </c>
      <c r="G279" s="28">
        <f>'[1]PFB tests'!F278</f>
        <v>106551.73211</v>
      </c>
      <c r="H279" s="28">
        <f>'[1]PFB tests'!G278</f>
        <v>24.840736417001601</v>
      </c>
      <c r="I279" s="30">
        <f t="shared" ref="I279:I284" si="70">(C279-G279)/G279</f>
        <v>-1.9802587390474317E-8</v>
      </c>
      <c r="J279" s="30">
        <f>(F279-H279)/H279</f>
        <v>-1.6856843934586557E-2</v>
      </c>
      <c r="K279" s="28">
        <f>'[1]Gurobi tests'!F247</f>
        <v>103982.22</v>
      </c>
      <c r="L279" s="28">
        <f>'[1]Gurobi tests'!G247</f>
        <v>63.71</v>
      </c>
      <c r="M279" s="29">
        <f>'[1]Gurobi tests'!H247/100</f>
        <v>0</v>
      </c>
      <c r="N279" s="29">
        <f>(C279-K279)/K279</f>
        <v>2.4711051562469135E-2</v>
      </c>
      <c r="O279" s="29">
        <f>(F279-L279)/L279</f>
        <v>-0.61666928268717625</v>
      </c>
      <c r="P279" s="14"/>
      <c r="Q279" s="20"/>
      <c r="R279" s="20"/>
      <c r="S279" s="2"/>
      <c r="T279" s="2"/>
      <c r="U279" s="2"/>
    </row>
    <row r="280" spans="1:21" x14ac:dyDescent="0.2">
      <c r="A280" s="19" t="s">
        <v>140</v>
      </c>
      <c r="B280" s="14" t="s">
        <v>290</v>
      </c>
      <c r="C280" s="28">
        <f>[1]ALNS!Z447</f>
        <v>114277.15</v>
      </c>
      <c r="D280" s="28">
        <f>[1]ALNS!AA447</f>
        <v>114277.15</v>
      </c>
      <c r="E280" s="29">
        <f>[1]ALNS!AD447</f>
        <v>0</v>
      </c>
      <c r="F280" s="28">
        <f>[1]ALNS!AE447</f>
        <v>36.31</v>
      </c>
      <c r="G280" s="28">
        <f>'[1]PFB tests'!F279</f>
        <v>114277.15216500001</v>
      </c>
      <c r="H280" s="28">
        <f>'[1]PFB tests'!G279</f>
        <v>36.534873208998697</v>
      </c>
      <c r="I280" s="30">
        <f t="shared" si="70"/>
        <v>-1.8945169455081927E-8</v>
      </c>
      <c r="J280" s="30">
        <f t="shared" ref="J280:J284" si="71">(F280-H280)/H280</f>
        <v>-6.1550291337348125E-3</v>
      </c>
      <c r="K280" s="28">
        <f>'[1]Gurobi tests'!F248</f>
        <v>114277.151760451</v>
      </c>
      <c r="L280" s="28">
        <f>'[1]Gurobi tests'!G248</f>
        <v>276.01</v>
      </c>
      <c r="M280" s="29">
        <f>'[1]Gurobi tests'!H248/100</f>
        <v>0</v>
      </c>
      <c r="N280" s="29">
        <f>(C280-K280)/K280</f>
        <v>-1.540510049107065E-8</v>
      </c>
      <c r="O280" s="29">
        <f>(F280-L280)/L280</f>
        <v>-0.86844679540596359</v>
      </c>
      <c r="P280" s="14"/>
      <c r="Q280" s="20"/>
      <c r="R280" s="20"/>
      <c r="S280" s="2"/>
      <c r="T280" s="2"/>
      <c r="U280" s="2"/>
    </row>
    <row r="281" spans="1:21" x14ac:dyDescent="0.2">
      <c r="A281" s="19" t="s">
        <v>141</v>
      </c>
      <c r="B281" s="14" t="s">
        <v>290</v>
      </c>
      <c r="C281" s="28">
        <f>[1]ALNS!Z448</f>
        <v>173841.01</v>
      </c>
      <c r="D281" s="28">
        <f>[1]ALNS!AA448</f>
        <v>173841.01</v>
      </c>
      <c r="E281" s="29">
        <f>[1]ALNS!AD448</f>
        <v>0</v>
      </c>
      <c r="F281" s="28">
        <f>[1]ALNS!AE448</f>
        <v>48.591999999999999</v>
      </c>
      <c r="G281" s="28">
        <f>'[1]PFB tests'!F280</f>
        <v>179388.864275</v>
      </c>
      <c r="H281" s="28">
        <f>'[1]PFB tests'!G280</f>
        <v>47.254106000000299</v>
      </c>
      <c r="I281" s="30">
        <f t="shared" si="70"/>
        <v>-3.0926413952290968E-2</v>
      </c>
      <c r="J281" s="30">
        <f t="shared" si="71"/>
        <v>2.8312756567644974E-2</v>
      </c>
      <c r="K281" s="28">
        <f>'[1]Gurobi tests'!F249</f>
        <v>173841.003897624</v>
      </c>
      <c r="L281" s="28">
        <f>'[1]Gurobi tests'!G249</f>
        <v>1318.29</v>
      </c>
      <c r="M281" s="29">
        <f>'[1]Gurobi tests'!H249/100</f>
        <v>0</v>
      </c>
      <c r="N281" s="29">
        <f>(C281-K281)/K281</f>
        <v>3.5103202751317124E-8</v>
      </c>
      <c r="O281" s="29">
        <f>(F281-L281)/L281</f>
        <v>-0.96314012849979891</v>
      </c>
      <c r="P281" s="14"/>
      <c r="Q281" s="20"/>
      <c r="R281" s="20"/>
      <c r="S281" s="2"/>
      <c r="T281" s="2"/>
      <c r="U281" s="2"/>
    </row>
    <row r="282" spans="1:21" x14ac:dyDescent="0.2">
      <c r="A282" s="19" t="s">
        <v>214</v>
      </c>
      <c r="B282" s="14" t="s">
        <v>290</v>
      </c>
      <c r="C282" s="28">
        <f>[1]ALNS!Z449</f>
        <v>187703.7</v>
      </c>
      <c r="D282" s="28">
        <f>[1]ALNS!AA449</f>
        <v>187703.7</v>
      </c>
      <c r="E282" s="29">
        <f>[1]ALNS!AD449</f>
        <v>0</v>
      </c>
      <c r="F282" s="28">
        <f>[1]ALNS!AE449</f>
        <v>60.95</v>
      </c>
      <c r="G282" s="28">
        <f>'[1]PFB tests'!F281</f>
        <v>189143.856165</v>
      </c>
      <c r="H282" s="28">
        <f>'[1]PFB tests'!G281</f>
        <v>56.0508933749988</v>
      </c>
      <c r="I282" s="30">
        <f t="shared" si="70"/>
        <v>-7.61407848079226E-3</v>
      </c>
      <c r="J282" s="30">
        <f t="shared" si="71"/>
        <v>8.7404612665574796E-2</v>
      </c>
      <c r="K282" s="28">
        <f>'[1]Gurobi tests'!F250</f>
        <v>217044.90805499899</v>
      </c>
      <c r="L282" s="28">
        <f>'[1]Gurobi tests'!G250</f>
        <v>3734.34</v>
      </c>
      <c r="M282" s="29">
        <f>'[1]Gurobi tests'!H250/100</f>
        <v>0.374896834703908</v>
      </c>
      <c r="N282" s="29">
        <f t="shared" ref="N282:N284" si="72">(C282-K282)/K282</f>
        <v>-0.13518496387652615</v>
      </c>
      <c r="O282" s="29">
        <f t="shared" ref="O282:O285" si="73">(F282-L282)/L282</f>
        <v>-0.98367850811656143</v>
      </c>
      <c r="P282" s="14"/>
      <c r="Q282" s="20"/>
      <c r="R282" s="20"/>
      <c r="S282" s="2"/>
      <c r="T282" s="2"/>
      <c r="U282" s="2"/>
    </row>
    <row r="283" spans="1:21" x14ac:dyDescent="0.2">
      <c r="A283" s="19" t="s">
        <v>143</v>
      </c>
      <c r="B283" s="14" t="s">
        <v>290</v>
      </c>
      <c r="C283" s="28">
        <f>[1]ALNS!Z450</f>
        <v>234102.12999999998</v>
      </c>
      <c r="D283" s="28">
        <f>[1]ALNS!AA450</f>
        <v>234102.13</v>
      </c>
      <c r="E283" s="29">
        <f>[1]ALNS!AD450</f>
        <v>1.3899519689736553E-16</v>
      </c>
      <c r="F283" s="28">
        <f>[1]ALNS!AE450</f>
        <v>79.893999999999991</v>
      </c>
      <c r="G283" s="28">
        <f>'[1]PFB tests'!F282</f>
        <v>238699.212275</v>
      </c>
      <c r="H283" s="28">
        <f>'[1]PFB tests'!G282</f>
        <v>111.76255341700001</v>
      </c>
      <c r="I283" s="30">
        <f t="shared" si="70"/>
        <v>-1.925889168709877E-2</v>
      </c>
      <c r="J283" s="30">
        <f t="shared" si="71"/>
        <v>-0.285145180050553</v>
      </c>
      <c r="K283" s="28">
        <f>'[1]Gurobi tests'!F251</f>
        <v>287857.54821999802</v>
      </c>
      <c r="L283" s="28">
        <f>'[1]Gurobi tests'!G251</f>
        <v>3809.45</v>
      </c>
      <c r="M283" s="29">
        <f>'[1]Gurobi tests'!H251/100</f>
        <v>0.41052567918385896</v>
      </c>
      <c r="N283" s="29">
        <f t="shared" si="72"/>
        <v>-0.18674312538406992</v>
      </c>
      <c r="O283" s="29">
        <f t="shared" si="73"/>
        <v>-0.97902741865623655</v>
      </c>
      <c r="P283" s="14"/>
      <c r="Q283" s="20"/>
      <c r="R283" s="20"/>
      <c r="S283" s="2"/>
      <c r="T283" s="2"/>
      <c r="U283" s="2"/>
    </row>
    <row r="284" spans="1:21" x14ac:dyDescent="0.2">
      <c r="A284" s="19" t="s">
        <v>144</v>
      </c>
      <c r="B284" s="14" t="s">
        <v>290</v>
      </c>
      <c r="C284" s="28">
        <f>[1]ALNS!Z451</f>
        <v>238335.43</v>
      </c>
      <c r="D284" s="28">
        <f>[1]ALNS!AA451</f>
        <v>238335.43</v>
      </c>
      <c r="E284" s="29">
        <f>[1]ALNS!AD451</f>
        <v>0</v>
      </c>
      <c r="F284" s="28">
        <f>[1]ALNS!AE451</f>
        <v>117.43199999999999</v>
      </c>
      <c r="G284" s="28">
        <f>'[1]PFB tests'!F283</f>
        <v>239940.07221999901</v>
      </c>
      <c r="H284" s="28">
        <f>'[1]PFB tests'!G283</f>
        <v>446.37044908300197</v>
      </c>
      <c r="I284" s="30">
        <f t="shared" si="70"/>
        <v>-6.6876791573511592E-3</v>
      </c>
      <c r="J284" s="30">
        <f t="shared" si="71"/>
        <v>-0.73691806829675743</v>
      </c>
      <c r="K284" s="28">
        <f>'[1]Gurobi tests'!F252</f>
        <v>265981.83610999997</v>
      </c>
      <c r="L284" s="28">
        <f>'[1]Gurobi tests'!G252</f>
        <v>3931.71</v>
      </c>
      <c r="M284" s="29">
        <f>'[1]Gurobi tests'!H252/100</f>
        <v>0.46455316948346498</v>
      </c>
      <c r="N284" s="29">
        <f t="shared" si="72"/>
        <v>-0.1039409551957769</v>
      </c>
      <c r="O284" s="29">
        <f t="shared" si="73"/>
        <v>-0.97013207993468498</v>
      </c>
      <c r="P284" s="14"/>
      <c r="Q284" s="20"/>
      <c r="R284" s="20"/>
      <c r="S284" s="2"/>
      <c r="T284" s="2"/>
      <c r="U284" s="2"/>
    </row>
    <row r="285" spans="1:21" ht="17" x14ac:dyDescent="0.2">
      <c r="A285" s="19" t="s">
        <v>145</v>
      </c>
      <c r="B285" s="14" t="s">
        <v>290</v>
      </c>
      <c r="C285" s="28">
        <f>[1]ALNS!Z452</f>
        <v>289638.96000000002</v>
      </c>
      <c r="D285" s="28">
        <f>[1]ALNS!AA452</f>
        <v>289638.96000000002</v>
      </c>
      <c r="E285" s="29">
        <f>[1]ALNS!AD452</f>
        <v>0</v>
      </c>
      <c r="F285" s="28">
        <f>[1]ALNS!AE452</f>
        <v>138.47200000000001</v>
      </c>
      <c r="G285" s="28" t="str">
        <f>'[1]PFB tests'!F284</f>
        <v>Infeasible</v>
      </c>
      <c r="H285" s="28" t="s">
        <v>32</v>
      </c>
      <c r="I285" s="30" t="s">
        <v>32</v>
      </c>
      <c r="J285" s="30" t="s">
        <v>32</v>
      </c>
      <c r="K285" s="28" t="str">
        <f>'[1]Gurobi tests'!F253</f>
        <v>Infeasible</v>
      </c>
      <c r="L285" s="28">
        <f>'[1]Gurobi tests'!G253</f>
        <v>4088.4297999999999</v>
      </c>
      <c r="M285" s="29" t="s">
        <v>32</v>
      </c>
      <c r="N285" s="29" t="s">
        <v>32</v>
      </c>
      <c r="O285" s="29">
        <f t="shared" si="73"/>
        <v>-0.96613076247511942</v>
      </c>
      <c r="P285" s="14"/>
      <c r="Q285" s="20"/>
      <c r="R285" s="20"/>
      <c r="S285" s="2"/>
      <c r="T285" s="2"/>
      <c r="U285" s="2"/>
    </row>
    <row r="286" spans="1:21" ht="17" x14ac:dyDescent="0.2">
      <c r="A286" s="19" t="s">
        <v>146</v>
      </c>
      <c r="B286" s="14" t="s">
        <v>290</v>
      </c>
      <c r="C286" s="28">
        <f>[1]ALNS!Z453</f>
        <v>297761.62</v>
      </c>
      <c r="D286" s="28">
        <f>[1]ALNS!AA453</f>
        <v>297332.74</v>
      </c>
      <c r="E286" s="29">
        <f>[1]ALNS!AD453</f>
        <v>2.1364671017030938E-3</v>
      </c>
      <c r="F286" s="28">
        <f>[1]ALNS!AE453</f>
        <v>145.93400000000003</v>
      </c>
      <c r="G286" s="28" t="str">
        <f>'[1]PFB tests'!F285</f>
        <v>Infeasible</v>
      </c>
      <c r="H286" s="28" t="str">
        <f>'[1]PFB tests'!G285</f>
        <v>-</v>
      </c>
      <c r="I286" s="30" t="s">
        <v>32</v>
      </c>
      <c r="J286" s="30" t="s">
        <v>32</v>
      </c>
      <c r="K286" s="58" t="s">
        <v>15</v>
      </c>
      <c r="L286" s="58" t="s">
        <v>32</v>
      </c>
      <c r="M286" s="59" t="s">
        <v>32</v>
      </c>
      <c r="N286" s="59" t="s">
        <v>32</v>
      </c>
      <c r="O286" s="32" t="s">
        <v>32</v>
      </c>
      <c r="P286" s="14"/>
      <c r="Q286" s="20"/>
      <c r="R286" s="20"/>
      <c r="S286" s="2"/>
      <c r="T286" s="2"/>
      <c r="U286" s="2"/>
    </row>
    <row r="287" spans="1:21" ht="17" x14ac:dyDescent="0.2">
      <c r="A287" s="19" t="s">
        <v>147</v>
      </c>
      <c r="B287" s="14" t="s">
        <v>290</v>
      </c>
      <c r="C287" s="28">
        <f>[1]ALNS!Z454</f>
        <v>352371.85600000003</v>
      </c>
      <c r="D287" s="28">
        <f>[1]ALNS!AA454</f>
        <v>352363.49</v>
      </c>
      <c r="E287" s="29">
        <f>[1]ALNS!AD454</f>
        <v>5.3088645932524547E-5</v>
      </c>
      <c r="F287" s="28">
        <f>[1]ALNS!AE454</f>
        <v>177.44200000000001</v>
      </c>
      <c r="G287" s="58" t="s">
        <v>15</v>
      </c>
      <c r="H287" s="58" t="s">
        <v>32</v>
      </c>
      <c r="I287" s="59" t="s">
        <v>32</v>
      </c>
      <c r="J287" s="59" t="s">
        <v>32</v>
      </c>
      <c r="K287" s="58" t="s">
        <v>15</v>
      </c>
      <c r="L287" s="58" t="s">
        <v>32</v>
      </c>
      <c r="M287" s="59" t="s">
        <v>32</v>
      </c>
      <c r="N287" s="59" t="s">
        <v>32</v>
      </c>
      <c r="O287" s="32" t="s">
        <v>32</v>
      </c>
      <c r="P287" s="14"/>
      <c r="Q287" s="20"/>
      <c r="R287" s="20"/>
      <c r="S287" s="2"/>
      <c r="T287" s="2"/>
      <c r="U287" s="2"/>
    </row>
    <row r="288" spans="1:21" ht="17" x14ac:dyDescent="0.2">
      <c r="A288" s="19" t="s">
        <v>148</v>
      </c>
      <c r="B288" s="14" t="s">
        <v>290</v>
      </c>
      <c r="C288" s="28">
        <f>[1]ALNS!Z455</f>
        <v>394272.91399999999</v>
      </c>
      <c r="D288" s="28">
        <f>[1]ALNS!AA455</f>
        <v>384066.12</v>
      </c>
      <c r="E288" s="29">
        <f>[1]ALNS!AD455</f>
        <v>1.4472330261361596E-2</v>
      </c>
      <c r="F288" s="28">
        <f>[1]ALNS!AE455</f>
        <v>318.45800000000003</v>
      </c>
      <c r="G288" s="58" t="s">
        <v>15</v>
      </c>
      <c r="H288" s="58" t="s">
        <v>32</v>
      </c>
      <c r="I288" s="59" t="s">
        <v>32</v>
      </c>
      <c r="J288" s="59" t="s">
        <v>32</v>
      </c>
      <c r="K288" s="58" t="s">
        <v>15</v>
      </c>
      <c r="L288" s="58" t="s">
        <v>32</v>
      </c>
      <c r="M288" s="59" t="s">
        <v>32</v>
      </c>
      <c r="N288" s="59" t="s">
        <v>32</v>
      </c>
      <c r="O288" s="32" t="s">
        <v>32</v>
      </c>
      <c r="P288" s="14"/>
      <c r="Q288" s="20"/>
      <c r="R288" s="20"/>
      <c r="S288" s="2"/>
      <c r="T288" s="2"/>
      <c r="U288" s="2"/>
    </row>
    <row r="289" spans="1:21" x14ac:dyDescent="0.2">
      <c r="A289" s="14"/>
      <c r="B289" s="14"/>
      <c r="C289" s="28"/>
      <c r="D289" s="28"/>
      <c r="E289" s="29"/>
      <c r="F289" s="28"/>
      <c r="G289" s="32"/>
      <c r="H289" s="32"/>
      <c r="I289" s="30"/>
      <c r="J289" s="30"/>
      <c r="K289" s="28"/>
      <c r="L289" s="28"/>
      <c r="M289" s="32"/>
      <c r="N289" s="32"/>
      <c r="O289" s="32"/>
      <c r="P289" s="14"/>
      <c r="Q289" s="20"/>
      <c r="R289" s="20"/>
      <c r="S289" s="2"/>
      <c r="T289" s="2"/>
      <c r="U289" s="2"/>
    </row>
    <row r="290" spans="1:21" ht="17" x14ac:dyDescent="0.2">
      <c r="A290" s="19" t="s">
        <v>149</v>
      </c>
      <c r="B290" s="14" t="s">
        <v>290</v>
      </c>
      <c r="C290" s="28">
        <f>[1]ALNS!Z457</f>
        <v>139190.54</v>
      </c>
      <c r="D290" s="28">
        <f>[1]ALNS!AA457</f>
        <v>139190.54</v>
      </c>
      <c r="E290" s="29">
        <f>[1]ALNS!AD457</f>
        <v>0</v>
      </c>
      <c r="F290" s="28">
        <f>[1]ALNS!AE457</f>
        <v>25.202000000000002</v>
      </c>
      <c r="G290" s="32" t="str">
        <f>'[1]PFB tests'!F289</f>
        <v>Infeasible</v>
      </c>
      <c r="H290" s="28">
        <f>'[1]PFB tests'!G289</f>
        <v>21.876517750002598</v>
      </c>
      <c r="I290" s="30" t="s">
        <v>32</v>
      </c>
      <c r="J290" s="30">
        <f>(F290-H290)/H290</f>
        <v>0.15201149872204905</v>
      </c>
      <c r="K290" s="28">
        <f>'[1]Gurobi tests'!F255</f>
        <v>138374.396249999</v>
      </c>
      <c r="L290" s="28">
        <f>'[1]Gurobi tests'!G255</f>
        <v>185.93</v>
      </c>
      <c r="M290" s="29">
        <f>'[1]Gurobi tests'!H255/100</f>
        <v>0</v>
      </c>
      <c r="N290" s="29">
        <f>(C290-K290)/K290</f>
        <v>5.898083548104463E-3</v>
      </c>
      <c r="O290" s="29">
        <f>(F290-L290)/L290</f>
        <v>-0.86445436454579683</v>
      </c>
      <c r="P290" s="14"/>
      <c r="Q290" s="20"/>
      <c r="R290" s="20"/>
      <c r="S290" s="2"/>
      <c r="T290" s="2"/>
      <c r="U290" s="2"/>
    </row>
    <row r="291" spans="1:21" x14ac:dyDescent="0.2">
      <c r="A291" s="19" t="s">
        <v>150</v>
      </c>
      <c r="B291" s="14" t="s">
        <v>290</v>
      </c>
      <c r="C291" s="28">
        <f>[1]ALNS!Z458</f>
        <v>145193.07</v>
      </c>
      <c r="D291" s="28">
        <f>[1]ALNS!AA458</f>
        <v>145193.07</v>
      </c>
      <c r="E291" s="29">
        <f>[1]ALNS!AD458</f>
        <v>0</v>
      </c>
      <c r="F291" s="28">
        <f>[1]ALNS!AE458</f>
        <v>39.024000000000001</v>
      </c>
      <c r="G291" s="28">
        <f>'[1]PFB tests'!F290</f>
        <v>145193.07049999901</v>
      </c>
      <c r="H291" s="28">
        <f>'[1]PFB tests'!G290</f>
        <v>53.042493041997602</v>
      </c>
      <c r="I291" s="30">
        <f t="shared" ref="I291:I296" si="74">(C291-G291)/G291</f>
        <v>-3.4436836647425474E-9</v>
      </c>
      <c r="J291" s="30">
        <f t="shared" ref="J291:J296" si="75">(F291-H291)/H291</f>
        <v>-0.26428797437741358</v>
      </c>
      <c r="K291" s="28">
        <f>'[1]Gurobi tests'!F256</f>
        <v>145193.07049999901</v>
      </c>
      <c r="L291" s="28">
        <f>'[1]Gurobi tests'!G256</f>
        <v>2517.15</v>
      </c>
      <c r="M291" s="29">
        <f>'[1]Gurobi tests'!H256/100</f>
        <v>0</v>
      </c>
      <c r="N291" s="29">
        <f>(C291-K291)/K291</f>
        <v>-3.4436836647425474E-9</v>
      </c>
      <c r="O291" s="29">
        <f>(F291-L291)/L291</f>
        <v>-0.98449675227936362</v>
      </c>
      <c r="P291" s="14"/>
      <c r="Q291" s="20"/>
      <c r="R291" s="20"/>
      <c r="S291" s="2"/>
      <c r="T291" s="2"/>
      <c r="U291" s="2"/>
    </row>
    <row r="292" spans="1:21" x14ac:dyDescent="0.2">
      <c r="A292" s="19" t="s">
        <v>151</v>
      </c>
      <c r="B292" s="14" t="s">
        <v>290</v>
      </c>
      <c r="C292" s="28">
        <f>[1]ALNS!Z459</f>
        <v>230317.07599999997</v>
      </c>
      <c r="D292" s="28">
        <f>[1]ALNS!AA459</f>
        <v>229531.08</v>
      </c>
      <c r="E292" s="29">
        <f>[1]ALNS!AD459</f>
        <v>4.6812354212582025E-3</v>
      </c>
      <c r="F292" s="28">
        <f>[1]ALNS!AE459</f>
        <v>63.112000000000002</v>
      </c>
      <c r="G292" s="28">
        <f>'[1]PFB tests'!F291</f>
        <v>232420.54374999899</v>
      </c>
      <c r="H292" s="28">
        <f>'[1]PFB tests'!G291</f>
        <v>74.978441584000393</v>
      </c>
      <c r="I292" s="30">
        <f t="shared" si="74"/>
        <v>-9.0502660223598687E-3</v>
      </c>
      <c r="J292" s="30">
        <f t="shared" si="75"/>
        <v>-0.15826471360712524</v>
      </c>
      <c r="K292" s="28">
        <f>'[1]Gurobi tests'!F257</f>
        <v>233230.59899998299</v>
      </c>
      <c r="L292" s="28">
        <f>'[1]Gurobi tests'!G257</f>
        <v>3696.23</v>
      </c>
      <c r="M292" s="29">
        <f>'[1]Gurobi tests'!H257/100</f>
        <v>6.9986731066544905E-2</v>
      </c>
      <c r="N292" s="29">
        <f>(C292-K292)/K292</f>
        <v>-1.2492027257466468E-2</v>
      </c>
      <c r="O292" s="29">
        <f>(F292-L292)/L292</f>
        <v>-0.98292530497290476</v>
      </c>
      <c r="P292" s="14"/>
      <c r="Q292" s="20"/>
      <c r="R292" s="20"/>
      <c r="S292" s="2"/>
      <c r="T292" s="2"/>
      <c r="U292" s="2"/>
    </row>
    <row r="293" spans="1:21" ht="17" x14ac:dyDescent="0.2">
      <c r="A293" s="19" t="s">
        <v>215</v>
      </c>
      <c r="B293" s="14" t="s">
        <v>290</v>
      </c>
      <c r="C293" s="28">
        <f>[1]ALNS!Z460</f>
        <v>250939.8</v>
      </c>
      <c r="D293" s="28">
        <f>[1]ALNS!AA460</f>
        <v>250939.8</v>
      </c>
      <c r="E293" s="29">
        <f>[1]ALNS!AD460</f>
        <v>0</v>
      </c>
      <c r="F293" s="28">
        <f>[1]ALNS!AE460</f>
        <v>97.478000000000009</v>
      </c>
      <c r="G293" s="28">
        <f>'[1]PFB tests'!F292</f>
        <v>252591.59650000001</v>
      </c>
      <c r="H293" s="28">
        <f>'[1]PFB tests'!G292</f>
        <v>83.257681041999604</v>
      </c>
      <c r="I293" s="30">
        <f t="shared" si="74"/>
        <v>-6.5393960958634893E-3</v>
      </c>
      <c r="J293" s="30">
        <f t="shared" si="75"/>
        <v>0.17079888341865923</v>
      </c>
      <c r="K293" s="28" t="str">
        <f>'[1]Gurobi tests'!F258</f>
        <v>Infeasible</v>
      </c>
      <c r="L293" s="28">
        <f>'[1]Gurobi tests'!G258</f>
        <v>3732.63</v>
      </c>
      <c r="M293" s="29" t="s">
        <v>32</v>
      </c>
      <c r="N293" s="29" t="s">
        <v>32</v>
      </c>
      <c r="O293" s="29">
        <f t="shared" ref="O293:O294" si="76">(F293-L293)/L293</f>
        <v>-0.97388490153055618</v>
      </c>
      <c r="P293" s="14"/>
      <c r="Q293" s="20"/>
      <c r="R293" s="20"/>
      <c r="S293" s="2"/>
      <c r="T293" s="2"/>
      <c r="U293" s="2"/>
    </row>
    <row r="294" spans="1:21" ht="17" x14ac:dyDescent="0.2">
      <c r="A294" s="19" t="s">
        <v>153</v>
      </c>
      <c r="B294" s="14" t="s">
        <v>290</v>
      </c>
      <c r="C294" s="28">
        <f>[1]ALNS!Z461</f>
        <v>314304.04599999997</v>
      </c>
      <c r="D294" s="28">
        <f>[1]ALNS!AA461</f>
        <v>313829.02</v>
      </c>
      <c r="E294" s="29">
        <f>[1]ALNS!AD461</f>
        <v>2.5267894180646304E-3</v>
      </c>
      <c r="F294" s="28">
        <f>[1]ALNS!AE461</f>
        <v>132.48000000000002</v>
      </c>
      <c r="G294" s="28">
        <f>'[1]PFB tests'!F293</f>
        <v>316893.29225</v>
      </c>
      <c r="H294" s="28">
        <f>'[1]PFB tests'!G293</f>
        <v>213.79828558400101</v>
      </c>
      <c r="I294" s="30">
        <f t="shared" si="74"/>
        <v>-8.1707196501885748E-3</v>
      </c>
      <c r="J294" s="30">
        <f t="shared" si="75"/>
        <v>-0.38035050356870687</v>
      </c>
      <c r="K294" s="28" t="str">
        <f>'[1]Gurobi tests'!F259</f>
        <v>Infeasible</v>
      </c>
      <c r="L294" s="28">
        <f>'[1]Gurobi tests'!G259</f>
        <v>3802.91</v>
      </c>
      <c r="M294" s="29" t="s">
        <v>32</v>
      </c>
      <c r="N294" s="29" t="s">
        <v>32</v>
      </c>
      <c r="O294" s="29">
        <f t="shared" si="76"/>
        <v>-0.96516351951531854</v>
      </c>
      <c r="P294" s="14"/>
      <c r="Q294" s="20"/>
      <c r="R294" s="20"/>
      <c r="S294" s="2"/>
      <c r="T294" s="2"/>
      <c r="U294" s="2"/>
    </row>
    <row r="295" spans="1:21" ht="17" x14ac:dyDescent="0.2">
      <c r="A295" s="19" t="s">
        <v>216</v>
      </c>
      <c r="B295" s="14" t="s">
        <v>290</v>
      </c>
      <c r="C295" s="28">
        <f>[1]ALNS!Z462</f>
        <v>315815.21600000001</v>
      </c>
      <c r="D295" s="28">
        <f>[1]ALNS!AA462</f>
        <v>315508.52</v>
      </c>
      <c r="E295" s="29">
        <f>[1]ALNS!AD462</f>
        <v>9.5118922671501185E-4</v>
      </c>
      <c r="F295" s="28">
        <f>[1]ALNS!AE462</f>
        <v>272.286</v>
      </c>
      <c r="G295" s="28">
        <f>'[1]PFB tests'!F294</f>
        <v>316577.68649999902</v>
      </c>
      <c r="H295" s="28">
        <f>'[1]PFB tests'!G294</f>
        <v>1375.9251314999999</v>
      </c>
      <c r="I295" s="30">
        <f t="shared" si="74"/>
        <v>-2.4084783372722279E-3</v>
      </c>
      <c r="J295" s="30">
        <f t="shared" si="75"/>
        <v>-0.80210696514921531</v>
      </c>
      <c r="K295" s="58" t="s">
        <v>15</v>
      </c>
      <c r="L295" s="58" t="s">
        <v>32</v>
      </c>
      <c r="M295" s="59" t="s">
        <v>32</v>
      </c>
      <c r="N295" s="59" t="s">
        <v>32</v>
      </c>
      <c r="O295" s="32" t="s">
        <v>32</v>
      </c>
      <c r="P295" s="14"/>
      <c r="Q295" s="20"/>
      <c r="R295" s="20"/>
      <c r="S295" s="2"/>
      <c r="T295" s="2"/>
      <c r="U295" s="2"/>
    </row>
    <row r="296" spans="1:21" ht="17" x14ac:dyDescent="0.2">
      <c r="A296" s="19" t="s">
        <v>155</v>
      </c>
      <c r="B296" s="14" t="s">
        <v>290</v>
      </c>
      <c r="C296" s="28">
        <f>[1]ALNS!Z463</f>
        <v>387481.85200000001</v>
      </c>
      <c r="D296" s="28">
        <f>[1]ALNS!AA463</f>
        <v>387105.62</v>
      </c>
      <c r="E296" s="29">
        <f>[1]ALNS!AD463</f>
        <v>8.5421611326853407E-4</v>
      </c>
      <c r="F296" s="28">
        <f>[1]ALNS!AE463</f>
        <v>483.38600000000008</v>
      </c>
      <c r="G296" s="28">
        <f>'[1]PFB tests'!F295</f>
        <v>394500.01899999997</v>
      </c>
      <c r="H296" s="28">
        <f>'[1]PFB tests'!G295</f>
        <v>2647.5562086249902</v>
      </c>
      <c r="I296" s="30">
        <f t="shared" si="74"/>
        <v>-1.7790029561443339E-2</v>
      </c>
      <c r="J296" s="30">
        <f t="shared" si="75"/>
        <v>-0.8174218177407282</v>
      </c>
      <c r="K296" s="58" t="s">
        <v>15</v>
      </c>
      <c r="L296" s="58" t="s">
        <v>32</v>
      </c>
      <c r="M296" s="59" t="s">
        <v>32</v>
      </c>
      <c r="N296" s="59" t="s">
        <v>32</v>
      </c>
      <c r="O296" s="32" t="s">
        <v>32</v>
      </c>
      <c r="P296" s="14"/>
      <c r="Q296" s="20"/>
      <c r="R296" s="20"/>
      <c r="S296" s="2"/>
      <c r="T296" s="2"/>
      <c r="U296" s="2"/>
    </row>
    <row r="297" spans="1:21" ht="17" x14ac:dyDescent="0.2">
      <c r="A297" s="19" t="s">
        <v>217</v>
      </c>
      <c r="B297" s="14" t="s">
        <v>290</v>
      </c>
      <c r="C297" s="28">
        <f>[1]ALNS!Z464</f>
        <v>400776.99000000005</v>
      </c>
      <c r="D297" s="28">
        <f>[1]ALNS!AA464</f>
        <v>400327.55</v>
      </c>
      <c r="E297" s="29">
        <f>[1]ALNS!AD464</f>
        <v>1.2244761163814498E-3</v>
      </c>
      <c r="F297" s="28">
        <f>[1]ALNS!AE464</f>
        <v>382.73400000000004</v>
      </c>
      <c r="G297" s="32" t="str">
        <f>'[1]PFB tests'!F296</f>
        <v>Infeasible</v>
      </c>
      <c r="H297" s="28" t="str">
        <f>'[1]PFB tests'!G296</f>
        <v>-</v>
      </c>
      <c r="I297" s="30" t="s">
        <v>32</v>
      </c>
      <c r="J297" s="30" t="s">
        <v>32</v>
      </c>
      <c r="K297" s="58" t="s">
        <v>15</v>
      </c>
      <c r="L297" s="58" t="s">
        <v>32</v>
      </c>
      <c r="M297" s="59" t="s">
        <v>32</v>
      </c>
      <c r="N297" s="59" t="s">
        <v>32</v>
      </c>
      <c r="O297" s="32" t="s">
        <v>32</v>
      </c>
      <c r="P297" s="14"/>
      <c r="Q297" s="20"/>
      <c r="R297" s="20"/>
      <c r="S297" s="2"/>
      <c r="T297" s="2"/>
      <c r="U297" s="2"/>
    </row>
    <row r="298" spans="1:21" ht="17" x14ac:dyDescent="0.2">
      <c r="A298" s="19" t="s">
        <v>157</v>
      </c>
      <c r="B298" s="14" t="s">
        <v>290</v>
      </c>
      <c r="C298" s="28">
        <f>[1]ALNS!Z465</f>
        <v>465378.86799999996</v>
      </c>
      <c r="D298" s="28">
        <f>[1]ALNS!AA465</f>
        <v>462977.25</v>
      </c>
      <c r="E298" s="29">
        <f>[1]ALNS!AD465</f>
        <v>3.5938317505988869E-3</v>
      </c>
      <c r="F298" s="28">
        <f>[1]ALNS!AE465</f>
        <v>505.55599999999993</v>
      </c>
      <c r="G298" s="58" t="s">
        <v>15</v>
      </c>
      <c r="H298" s="58" t="s">
        <v>32</v>
      </c>
      <c r="I298" s="59" t="s">
        <v>32</v>
      </c>
      <c r="J298" s="59" t="s">
        <v>32</v>
      </c>
      <c r="K298" s="58" t="s">
        <v>15</v>
      </c>
      <c r="L298" s="58" t="s">
        <v>32</v>
      </c>
      <c r="M298" s="59" t="s">
        <v>32</v>
      </c>
      <c r="N298" s="59" t="s">
        <v>32</v>
      </c>
      <c r="O298" s="32" t="s">
        <v>32</v>
      </c>
      <c r="P298" s="14"/>
      <c r="Q298" s="20"/>
      <c r="R298" s="20"/>
      <c r="S298" s="2"/>
      <c r="T298" s="2"/>
      <c r="U298" s="2"/>
    </row>
    <row r="299" spans="1:21" ht="17" x14ac:dyDescent="0.2">
      <c r="A299" s="19" t="s">
        <v>158</v>
      </c>
      <c r="B299" s="14" t="s">
        <v>290</v>
      </c>
      <c r="C299" s="28">
        <f>[1]ALNS!Z466</f>
        <v>523691.58799999999</v>
      </c>
      <c r="D299" s="28">
        <f>[1]ALNS!AA466</f>
        <v>522990.57</v>
      </c>
      <c r="E299" s="29">
        <f>[1]ALNS!AD466</f>
        <v>1.448677925982357E-3</v>
      </c>
      <c r="F299" s="28">
        <f>[1]ALNS!AE466</f>
        <v>871.25800000000004</v>
      </c>
      <c r="G299" s="58" t="s">
        <v>15</v>
      </c>
      <c r="H299" s="58" t="s">
        <v>32</v>
      </c>
      <c r="I299" s="59" t="s">
        <v>32</v>
      </c>
      <c r="J299" s="59" t="s">
        <v>32</v>
      </c>
      <c r="K299" s="58" t="s">
        <v>15</v>
      </c>
      <c r="L299" s="58" t="s">
        <v>32</v>
      </c>
      <c r="M299" s="59" t="s">
        <v>32</v>
      </c>
      <c r="N299" s="59" t="s">
        <v>32</v>
      </c>
      <c r="O299" s="32" t="s">
        <v>32</v>
      </c>
      <c r="P299" s="14"/>
      <c r="Q299" s="20"/>
      <c r="R299" s="20"/>
      <c r="S299" s="2"/>
      <c r="T299" s="2"/>
      <c r="U299" s="2"/>
    </row>
    <row r="300" spans="1:21" x14ac:dyDescent="0.2">
      <c r="A300" s="19"/>
      <c r="B300" s="14"/>
      <c r="C300" s="28"/>
      <c r="D300" s="28"/>
      <c r="E300" s="29"/>
      <c r="F300" s="28"/>
      <c r="G300" s="32"/>
      <c r="H300" s="32"/>
      <c r="I300" s="30"/>
      <c r="J300" s="30"/>
      <c r="K300" s="32"/>
      <c r="L300" s="32"/>
      <c r="M300" s="32"/>
      <c r="N300" s="32"/>
      <c r="O300" s="32"/>
      <c r="P300" s="14"/>
      <c r="Q300" s="20"/>
      <c r="R300" s="20"/>
      <c r="S300" s="2"/>
      <c r="T300" s="2"/>
      <c r="U300" s="2"/>
    </row>
    <row r="301" spans="1:21" ht="17" x14ac:dyDescent="0.2">
      <c r="A301" s="19" t="s">
        <v>159</v>
      </c>
      <c r="B301" s="14" t="s">
        <v>290</v>
      </c>
      <c r="C301" s="28">
        <f>[1]ALNS!Z468</f>
        <v>171236.47</v>
      </c>
      <c r="D301" s="28">
        <f>[1]ALNS!AA468</f>
        <v>171236.47</v>
      </c>
      <c r="E301" s="29">
        <f>[1]ALNS!AD468</f>
        <v>0</v>
      </c>
      <c r="F301" s="28">
        <f>[1]ALNS!AE468</f>
        <v>28.642000000000003</v>
      </c>
      <c r="G301" s="32" t="str">
        <f>'[1]PFB tests'!F300</f>
        <v>Infeasible</v>
      </c>
      <c r="H301" s="28">
        <f>'[1]PFB tests'!G300</f>
        <v>21.888353708</v>
      </c>
      <c r="I301" s="30" t="s">
        <v>32</v>
      </c>
      <c r="J301" s="30">
        <f>(F301-H301)/H301</f>
        <v>0.30854976039297122</v>
      </c>
      <c r="K301" s="28">
        <f>'[1]Gurobi tests'!F263</f>
        <v>171236.473549991</v>
      </c>
      <c r="L301" s="32">
        <f>'[1]Gurobi tests'!G263</f>
        <v>206.32</v>
      </c>
      <c r="M301" s="29">
        <f>'[1]Gurobi tests'!H263/100</f>
        <v>0</v>
      </c>
      <c r="N301" s="29">
        <f>(C301-K301)/K301</f>
        <v>-2.073151196887367E-8</v>
      </c>
      <c r="O301" s="29">
        <f>(F301-L301)/L301</f>
        <v>-0.86117681271810775</v>
      </c>
      <c r="P301" s="14"/>
      <c r="Q301" s="20"/>
      <c r="R301" s="20"/>
      <c r="S301" s="2"/>
      <c r="T301" s="2"/>
      <c r="U301" s="2"/>
    </row>
    <row r="302" spans="1:21" x14ac:dyDescent="0.2">
      <c r="A302" s="19" t="s">
        <v>160</v>
      </c>
      <c r="B302" s="14" t="s">
        <v>290</v>
      </c>
      <c r="C302" s="28">
        <f>[1]ALNS!Z469</f>
        <v>179141.15</v>
      </c>
      <c r="D302" s="28">
        <f>[1]ALNS!AA469</f>
        <v>179141.15</v>
      </c>
      <c r="E302" s="29">
        <f>[1]ALNS!AD469</f>
        <v>0</v>
      </c>
      <c r="F302" s="28">
        <f>[1]ALNS!AE469</f>
        <v>60.454000000000008</v>
      </c>
      <c r="G302" s="28">
        <f>'[1]PFB tests'!F301</f>
        <v>184851.576</v>
      </c>
      <c r="H302" s="28">
        <f>'[1]PFB tests'!G301</f>
        <v>129.63186029100299</v>
      </c>
      <c r="I302" s="30">
        <f>(C302-G302)/G302</f>
        <v>-3.0891951930125859E-2</v>
      </c>
      <c r="J302" s="30">
        <f t="shared" ref="J302:J307" si="77">(F302-H302)/H302</f>
        <v>-0.53364859638448181</v>
      </c>
      <c r="K302" s="28">
        <f>'[1]Gurobi tests'!F264</f>
        <v>179141.15257319299</v>
      </c>
      <c r="L302" s="32">
        <f>'[1]Gurobi tests'!G264</f>
        <v>2774.83</v>
      </c>
      <c r="M302" s="29">
        <f>'[1]Gurobi tests'!H264/100</f>
        <v>0</v>
      </c>
      <c r="N302" s="29">
        <f>(C302-K302)/K302</f>
        <v>-1.436405290326551E-8</v>
      </c>
      <c r="O302" s="29">
        <f t="shared" ref="O302:O305" si="78">(F302-L302)/L302</f>
        <v>-0.97821344010263689</v>
      </c>
      <c r="P302" s="14"/>
      <c r="Q302" s="20"/>
      <c r="R302" s="20"/>
      <c r="S302" s="2"/>
      <c r="T302" s="2"/>
      <c r="U302" s="2"/>
    </row>
    <row r="303" spans="1:21" ht="17" x14ac:dyDescent="0.2">
      <c r="A303" s="19" t="s">
        <v>218</v>
      </c>
      <c r="B303" s="14" t="s">
        <v>290</v>
      </c>
      <c r="C303" s="28">
        <f>[1]ALNS!Z470</f>
        <v>288871.674</v>
      </c>
      <c r="D303" s="28">
        <f>[1]ALNS!AA470</f>
        <v>288737.75</v>
      </c>
      <c r="E303" s="29">
        <f>[1]ALNS!AD470</f>
        <v>1.0366650480887224E-3</v>
      </c>
      <c r="F303" s="28">
        <f>[1]ALNS!AE470</f>
        <v>107.042</v>
      </c>
      <c r="G303" s="28">
        <f>'[1]PFB tests'!F302</f>
        <v>305242.882099977</v>
      </c>
      <c r="H303" s="28">
        <f>'[1]PFB tests'!G302</f>
        <v>128.73917737499801</v>
      </c>
      <c r="I303" s="30">
        <f>(C303-G303)/G303</f>
        <v>-5.3633382005005746E-2</v>
      </c>
      <c r="J303" s="30">
        <f t="shared" si="77"/>
        <v>-0.16853593301903247</v>
      </c>
      <c r="K303" s="28" t="str">
        <f>'[1]Gurobi tests'!F265</f>
        <v>Infeasible</v>
      </c>
      <c r="L303" s="32">
        <f>'[1]Gurobi tests'!G265</f>
        <v>3696.15</v>
      </c>
      <c r="M303" s="29" t="s">
        <v>32</v>
      </c>
      <c r="N303" s="29" t="s">
        <v>32</v>
      </c>
      <c r="O303" s="29">
        <f t="shared" si="78"/>
        <v>-0.97103959525452166</v>
      </c>
      <c r="P303" s="14"/>
      <c r="Q303" s="20"/>
      <c r="R303" s="20"/>
      <c r="S303" s="2"/>
      <c r="T303" s="2"/>
      <c r="U303" s="2"/>
    </row>
    <row r="304" spans="1:21" ht="17" x14ac:dyDescent="0.2">
      <c r="A304" s="19" t="s">
        <v>219</v>
      </c>
      <c r="B304" s="14" t="s">
        <v>290</v>
      </c>
      <c r="C304" s="28">
        <f>[1]ALNS!Z471</f>
        <v>373591.85799999995</v>
      </c>
      <c r="D304" s="28">
        <f>[1]ALNS!AA471</f>
        <v>373316.76</v>
      </c>
      <c r="E304" s="29">
        <f>[1]ALNS!AD471</f>
        <v>5.4278146762242298E-4</v>
      </c>
      <c r="F304" s="28">
        <f>[1]ALNS!AE471</f>
        <v>225.642</v>
      </c>
      <c r="G304" s="32" t="str">
        <f>'[1]PFB tests'!F303</f>
        <v>Infeasible</v>
      </c>
      <c r="H304" s="28">
        <f>'[1]PFB tests'!G303</f>
        <v>208.489796541998</v>
      </c>
      <c r="I304" s="30" t="s">
        <v>32</v>
      </c>
      <c r="J304" s="30">
        <f t="shared" si="77"/>
        <v>8.2268790811289738E-2</v>
      </c>
      <c r="K304" s="28" t="str">
        <f>'[1]Gurobi tests'!F266</f>
        <v>Infeasible</v>
      </c>
      <c r="L304" s="32">
        <f>'[1]Gurobi tests'!G266</f>
        <v>3758.21</v>
      </c>
      <c r="M304" s="29" t="s">
        <v>32</v>
      </c>
      <c r="N304" s="29" t="s">
        <v>32</v>
      </c>
      <c r="O304" s="29">
        <f t="shared" si="78"/>
        <v>-0.93996024703249692</v>
      </c>
      <c r="P304" s="14"/>
      <c r="Q304" s="20"/>
      <c r="R304" s="20"/>
      <c r="S304" s="2"/>
      <c r="T304" s="2"/>
      <c r="U304" s="2"/>
    </row>
    <row r="305" spans="1:21" ht="17" x14ac:dyDescent="0.2">
      <c r="A305" s="19" t="s">
        <v>220</v>
      </c>
      <c r="B305" s="14" t="s">
        <v>290</v>
      </c>
      <c r="C305" s="28">
        <f>[1]ALNS!Z472</f>
        <v>387312.85</v>
      </c>
      <c r="D305" s="28">
        <f>[1]ALNS!AA472</f>
        <v>387312.85</v>
      </c>
      <c r="E305" s="29">
        <f>[1]ALNS!AD472</f>
        <v>0</v>
      </c>
      <c r="F305" s="28">
        <f>[1]ALNS!AE472</f>
        <v>331.91400000000004</v>
      </c>
      <c r="G305" s="32" t="str">
        <f>'[1]PFB tests'!F304</f>
        <v>Infeasible</v>
      </c>
      <c r="H305" s="28">
        <f>'[1]PFB tests'!G304</f>
        <v>327.75534212500099</v>
      </c>
      <c r="I305" s="30" t="s">
        <v>32</v>
      </c>
      <c r="J305" s="30">
        <f t="shared" si="77"/>
        <v>1.2688299290673348E-2</v>
      </c>
      <c r="K305" s="28" t="str">
        <f>'[1]Gurobi tests'!F267</f>
        <v>Infeasible</v>
      </c>
      <c r="L305" s="32">
        <f>'[1]Gurobi tests'!G267</f>
        <v>3805.54</v>
      </c>
      <c r="M305" s="29" t="s">
        <v>32</v>
      </c>
      <c r="N305" s="29" t="s">
        <v>32</v>
      </c>
      <c r="O305" s="29">
        <f t="shared" si="78"/>
        <v>-0.91278136611361327</v>
      </c>
      <c r="P305" s="14"/>
      <c r="Q305" s="20"/>
      <c r="R305" s="20"/>
      <c r="S305" s="2"/>
      <c r="T305" s="2"/>
      <c r="U305" s="2"/>
    </row>
    <row r="306" spans="1:21" ht="17" x14ac:dyDescent="0.2">
      <c r="A306" s="19" t="s">
        <v>221</v>
      </c>
      <c r="B306" s="14" t="s">
        <v>290</v>
      </c>
      <c r="C306" s="28">
        <f>[1]ALNS!Z473</f>
        <v>377266.14799999993</v>
      </c>
      <c r="D306" s="28">
        <f>[1]ALNS!AA473</f>
        <v>376604.61</v>
      </c>
      <c r="E306" s="29">
        <f>[1]ALNS!AD473</f>
        <v>1.6035170542255007E-3</v>
      </c>
      <c r="F306" s="28">
        <f>[1]ALNS!AE473</f>
        <v>874.21399999999994</v>
      </c>
      <c r="G306" s="32" t="str">
        <f>'[1]PFB tests'!F305</f>
        <v>Infeasible</v>
      </c>
      <c r="H306" s="28">
        <f>'[1]PFB tests'!G305</f>
        <v>1432.7033128329999</v>
      </c>
      <c r="I306" s="30" t="s">
        <v>32</v>
      </c>
      <c r="J306" s="30">
        <f t="shared" si="77"/>
        <v>-0.38981504951548829</v>
      </c>
      <c r="K306" s="58" t="s">
        <v>15</v>
      </c>
      <c r="L306" s="58" t="s">
        <v>32</v>
      </c>
      <c r="M306" s="59" t="s">
        <v>32</v>
      </c>
      <c r="N306" s="59" t="s">
        <v>32</v>
      </c>
      <c r="O306" s="32" t="s">
        <v>32</v>
      </c>
      <c r="P306" s="14"/>
      <c r="Q306" s="20"/>
      <c r="R306" s="20"/>
      <c r="S306" s="2"/>
      <c r="T306" s="2"/>
      <c r="U306" s="2"/>
    </row>
    <row r="307" spans="1:21" ht="17" x14ac:dyDescent="0.2">
      <c r="A307" s="19" t="s">
        <v>222</v>
      </c>
      <c r="B307" s="14" t="s">
        <v>290</v>
      </c>
      <c r="C307" s="28">
        <f>[1]ALNS!Z474</f>
        <v>465701.50800000003</v>
      </c>
      <c r="D307" s="28">
        <f>[1]ALNS!AA474</f>
        <v>465559.93</v>
      </c>
      <c r="E307" s="29">
        <f>[1]ALNS!AD474</f>
        <v>5.8974519969059666E-4</v>
      </c>
      <c r="F307" s="28">
        <f>[1]ALNS!AE474</f>
        <v>1283.8259999999998</v>
      </c>
      <c r="G307" s="32" t="str">
        <f>'[1]PFB tests'!F306</f>
        <v>Infeasible</v>
      </c>
      <c r="H307" s="28">
        <f>'[1]PFB tests'!G306</f>
        <v>2051.7197040409901</v>
      </c>
      <c r="I307" s="30" t="s">
        <v>32</v>
      </c>
      <c r="J307" s="30">
        <f t="shared" si="77"/>
        <v>-0.37426832843130359</v>
      </c>
      <c r="K307" s="58" t="s">
        <v>15</v>
      </c>
      <c r="L307" s="58" t="s">
        <v>32</v>
      </c>
      <c r="M307" s="59" t="s">
        <v>32</v>
      </c>
      <c r="N307" s="59" t="s">
        <v>32</v>
      </c>
      <c r="O307" s="32" t="s">
        <v>32</v>
      </c>
      <c r="P307" s="14"/>
      <c r="Q307" s="20"/>
      <c r="R307" s="20"/>
      <c r="S307" s="2"/>
      <c r="T307" s="2"/>
      <c r="U307" s="2"/>
    </row>
    <row r="308" spans="1:21" ht="17" x14ac:dyDescent="0.2">
      <c r="A308" s="19" t="s">
        <v>223</v>
      </c>
      <c r="B308" s="14" t="s">
        <v>290</v>
      </c>
      <c r="C308" s="28">
        <f>[1]ALNS!Z475</f>
        <v>481372.522</v>
      </c>
      <c r="D308" s="28">
        <f>[1]ALNS!AA475</f>
        <v>478750.47</v>
      </c>
      <c r="E308" s="29">
        <f>[1]ALNS!AD475</f>
        <v>1.2179936005028726E-2</v>
      </c>
      <c r="F308" s="28">
        <f>[1]ALNS!AE475</f>
        <v>1901.7519999999997</v>
      </c>
      <c r="G308" s="32" t="str">
        <f>'[1]PFB tests'!F307</f>
        <v>Infeasible</v>
      </c>
      <c r="H308" s="28" t="str">
        <f>'[1]PFB tests'!G307</f>
        <v>-</v>
      </c>
      <c r="I308" s="32" t="s">
        <v>32</v>
      </c>
      <c r="J308" s="30" t="s">
        <v>32</v>
      </c>
      <c r="K308" s="58" t="s">
        <v>15</v>
      </c>
      <c r="L308" s="58" t="s">
        <v>32</v>
      </c>
      <c r="M308" s="59" t="s">
        <v>32</v>
      </c>
      <c r="N308" s="59" t="s">
        <v>32</v>
      </c>
      <c r="O308" s="32" t="s">
        <v>32</v>
      </c>
      <c r="P308" s="14"/>
      <c r="Q308" s="20"/>
      <c r="R308" s="20"/>
      <c r="S308" s="2"/>
      <c r="T308" s="2"/>
      <c r="U308" s="2"/>
    </row>
    <row r="309" spans="1:21" ht="17" x14ac:dyDescent="0.2">
      <c r="A309" s="19" t="s">
        <v>224</v>
      </c>
      <c r="B309" s="14" t="s">
        <v>290</v>
      </c>
      <c r="C309" s="28">
        <f>[1]ALNS!Z476</f>
        <v>556242.7840000001</v>
      </c>
      <c r="D309" s="28">
        <f>[1]ALNS!AA476</f>
        <v>554511.74</v>
      </c>
      <c r="E309" s="29">
        <f>[1]ALNS!AD476</f>
        <v>2.8437560620423624E-3</v>
      </c>
      <c r="F309" s="28">
        <f>[1]ALNS!AE476</f>
        <v>1710.97</v>
      </c>
      <c r="G309" s="58" t="s">
        <v>15</v>
      </c>
      <c r="H309" s="58" t="s">
        <v>32</v>
      </c>
      <c r="I309" s="59" t="s">
        <v>32</v>
      </c>
      <c r="J309" s="59" t="s">
        <v>32</v>
      </c>
      <c r="K309" s="58" t="s">
        <v>15</v>
      </c>
      <c r="L309" s="58" t="s">
        <v>32</v>
      </c>
      <c r="M309" s="59" t="s">
        <v>32</v>
      </c>
      <c r="N309" s="59" t="s">
        <v>32</v>
      </c>
      <c r="O309" s="32" t="s">
        <v>32</v>
      </c>
      <c r="P309" s="14"/>
      <c r="Q309" s="20"/>
      <c r="R309" s="20"/>
      <c r="S309" s="2"/>
      <c r="T309" s="2"/>
      <c r="U309" s="2"/>
    </row>
    <row r="310" spans="1:21" ht="17" x14ac:dyDescent="0.2">
      <c r="A310" s="19" t="s">
        <v>168</v>
      </c>
      <c r="B310" s="14" t="s">
        <v>290</v>
      </c>
      <c r="C310" s="28">
        <f>[1]ALNS!Z477</f>
        <v>624634.85600000003</v>
      </c>
      <c r="D310" s="28">
        <f>[1]ALNS!AA477</f>
        <v>622083.81000000006</v>
      </c>
      <c r="E310" s="29">
        <f>[1]ALNS!AD477</f>
        <v>2.9544296495822493E-3</v>
      </c>
      <c r="F310" s="28">
        <f>[1]ALNS!AE477</f>
        <v>2909.3020000000006</v>
      </c>
      <c r="G310" s="58" t="s">
        <v>15</v>
      </c>
      <c r="H310" s="58" t="s">
        <v>32</v>
      </c>
      <c r="I310" s="59" t="s">
        <v>32</v>
      </c>
      <c r="J310" s="59" t="s">
        <v>32</v>
      </c>
      <c r="K310" s="58" t="s">
        <v>15</v>
      </c>
      <c r="L310" s="58" t="s">
        <v>32</v>
      </c>
      <c r="M310" s="59" t="s">
        <v>32</v>
      </c>
      <c r="N310" s="59" t="s">
        <v>32</v>
      </c>
      <c r="O310" s="32" t="s">
        <v>32</v>
      </c>
      <c r="P310" s="14"/>
      <c r="Q310" s="20"/>
      <c r="R310" s="20"/>
      <c r="S310" s="2"/>
      <c r="T310" s="2"/>
      <c r="U310" s="2"/>
    </row>
    <row r="311" spans="1:21" x14ac:dyDescent="0.2">
      <c r="A311" s="14"/>
      <c r="B311" s="14"/>
      <c r="C311" s="32"/>
      <c r="D311" s="32"/>
      <c r="E311" s="32"/>
      <c r="F311" s="32"/>
      <c r="G311" s="32"/>
      <c r="H311" s="32"/>
      <c r="I311" s="30"/>
      <c r="J311" s="30"/>
      <c r="K311" s="32"/>
      <c r="L311" s="32"/>
      <c r="M311" s="31"/>
      <c r="N311" s="30"/>
      <c r="O311" s="30"/>
      <c r="P311" s="14"/>
      <c r="Q311" s="20"/>
      <c r="R311" s="20"/>
      <c r="S311" s="2"/>
      <c r="T311" s="2"/>
      <c r="U311" s="2"/>
    </row>
    <row r="312" spans="1:21" x14ac:dyDescent="0.2">
      <c r="A312" s="19" t="s">
        <v>169</v>
      </c>
      <c r="B312" s="14" t="s">
        <v>290</v>
      </c>
      <c r="C312" s="28">
        <f>[1]ALNS!Z479</f>
        <v>101388.56</v>
      </c>
      <c r="D312" s="28">
        <f>[1]ALNS!AA479</f>
        <v>101388.56</v>
      </c>
      <c r="E312" s="29">
        <f>[1]ALNS!AD479</f>
        <v>0</v>
      </c>
      <c r="F312" s="28">
        <f>[1]ALNS!AE479</f>
        <v>23.794</v>
      </c>
      <c r="G312" s="28">
        <f>'[1]PFB tests'!F311</f>
        <v>101388.564055</v>
      </c>
      <c r="H312" s="28">
        <f>'[1]PFB tests'!G311</f>
        <v>24.010349291995201</v>
      </c>
      <c r="I312" s="30">
        <f t="shared" ref="I312:I319" si="79">(C312-G312)/G312</f>
        <v>-3.9994648660837088E-8</v>
      </c>
      <c r="J312" s="30">
        <f>(F312-H312)/H312</f>
        <v>-9.0106682482678068E-3</v>
      </c>
      <c r="K312" s="28">
        <f>'[1]Gurobi tests'!F271</f>
        <v>101388.564</v>
      </c>
      <c r="L312" s="32">
        <f>'[1]Gurobi tests'!G271</f>
        <v>169.12</v>
      </c>
      <c r="M312" s="29">
        <f>'[1]Gurobi tests'!H271/100</f>
        <v>0</v>
      </c>
      <c r="N312" s="29">
        <f>(C312-K312)/K312</f>
        <v>-3.945218122247897E-8</v>
      </c>
      <c r="O312" s="29">
        <f>(F312-L312)/L312</f>
        <v>-0.85930700094607371</v>
      </c>
      <c r="P312" s="14"/>
      <c r="Q312" s="20"/>
      <c r="R312" s="20"/>
      <c r="S312" s="2"/>
      <c r="T312" s="2"/>
      <c r="U312" s="2"/>
    </row>
    <row r="313" spans="1:21" x14ac:dyDescent="0.2">
      <c r="A313" s="19" t="s">
        <v>170</v>
      </c>
      <c r="B313" s="14" t="s">
        <v>290</v>
      </c>
      <c r="C313" s="28">
        <f>[1]ALNS!Z480</f>
        <v>166514.93</v>
      </c>
      <c r="D313" s="28">
        <f>[1]ALNS!AA480</f>
        <v>166514.93</v>
      </c>
      <c r="E313" s="29">
        <f>[1]ALNS!AD480</f>
        <v>0</v>
      </c>
      <c r="F313" s="28">
        <f>[1]ALNS!AE480</f>
        <v>38.106000000000002</v>
      </c>
      <c r="G313" s="28">
        <f>'[1]PFB tests'!F312</f>
        <v>166514.92816499999</v>
      </c>
      <c r="H313" s="28">
        <f>'[1]PFB tests'!G312</f>
        <v>32.549132124993697</v>
      </c>
      <c r="I313" s="30">
        <f t="shared" si="79"/>
        <v>1.1020032996311354E-8</v>
      </c>
      <c r="J313" s="30">
        <f t="shared" ref="J313:J319" si="80">(F313-H313)/H313</f>
        <v>0.17072245900956967</v>
      </c>
      <c r="K313" s="28">
        <f>'[1]Gurobi tests'!F272</f>
        <v>163685.075936451</v>
      </c>
      <c r="L313" s="32">
        <f>'[1]Gurobi tests'!G272</f>
        <v>1790.85</v>
      </c>
      <c r="M313" s="29">
        <f>'[1]Gurobi tests'!H272/100</f>
        <v>0</v>
      </c>
      <c r="N313" s="29">
        <f t="shared" ref="N313:N314" si="81">(C313-K313)/K313</f>
        <v>1.7288406089310503E-2</v>
      </c>
      <c r="O313" s="29">
        <f t="shared" ref="O313:O317" si="82">(F313-L313)/L313</f>
        <v>-0.978721835999665</v>
      </c>
      <c r="P313" s="14"/>
      <c r="Q313" s="20"/>
      <c r="R313" s="20"/>
      <c r="S313" s="2"/>
      <c r="T313" s="2"/>
      <c r="U313" s="2"/>
    </row>
    <row r="314" spans="1:21" x14ac:dyDescent="0.2">
      <c r="A314" s="19" t="s">
        <v>171</v>
      </c>
      <c r="B314" s="14" t="s">
        <v>290</v>
      </c>
      <c r="C314" s="28">
        <f>[1]ALNS!Z481</f>
        <v>175354.92</v>
      </c>
      <c r="D314" s="28">
        <f>[1]ALNS!AA481</f>
        <v>175354.92</v>
      </c>
      <c r="E314" s="29">
        <f>[1]ALNS!AD481</f>
        <v>0</v>
      </c>
      <c r="F314" s="28">
        <f>[1]ALNS!AE481</f>
        <v>53.179999999999993</v>
      </c>
      <c r="G314" s="28">
        <f>'[1]PFB tests'!F313</f>
        <v>178637.35216499999</v>
      </c>
      <c r="H314" s="28">
        <f>'[1]PFB tests'!G313</f>
        <v>44.9273179999945</v>
      </c>
      <c r="I314" s="30">
        <f t="shared" si="79"/>
        <v>-1.8374836646526917E-2</v>
      </c>
      <c r="J314" s="30">
        <f t="shared" si="80"/>
        <v>0.1836896206447601</v>
      </c>
      <c r="K314" s="28">
        <f>'[1]Gurobi tests'!F273</f>
        <v>193503.26399999901</v>
      </c>
      <c r="L314" s="32">
        <f>'[1]Gurobi tests'!G273</f>
        <v>3709.78</v>
      </c>
      <c r="M314" s="29">
        <f>'[1]Gurobi tests'!H273/100</f>
        <v>0.41605342344068297</v>
      </c>
      <c r="N314" s="29">
        <f t="shared" si="81"/>
        <v>-9.3788309431302855E-2</v>
      </c>
      <c r="O314" s="29">
        <f t="shared" si="82"/>
        <v>-0.98566491813530721</v>
      </c>
      <c r="P314" s="14"/>
      <c r="Q314" s="20"/>
      <c r="R314" s="20"/>
      <c r="S314" s="2"/>
      <c r="T314" s="2"/>
      <c r="U314" s="2"/>
    </row>
    <row r="315" spans="1:21" ht="17" x14ac:dyDescent="0.2">
      <c r="A315" s="19" t="s">
        <v>172</v>
      </c>
      <c r="B315" s="14" t="s">
        <v>290</v>
      </c>
      <c r="C315" s="28">
        <f>[1]ALNS!Z482</f>
        <v>225003.64800000004</v>
      </c>
      <c r="D315" s="28">
        <f>[1]ALNS!AA482</f>
        <v>224908.14</v>
      </c>
      <c r="E315" s="29">
        <f>[1]ALNS!AD482</f>
        <v>7.797134427236787E-4</v>
      </c>
      <c r="F315" s="28">
        <f>[1]ALNS!AE482</f>
        <v>72.756</v>
      </c>
      <c r="G315" s="28">
        <f>'[1]PFB tests'!F314</f>
        <v>231208.476165</v>
      </c>
      <c r="H315" s="28">
        <f>'[1]PFB tests'!G314</f>
        <v>53.754840665998898</v>
      </c>
      <c r="I315" s="30">
        <f t="shared" si="79"/>
        <v>-2.68365081934623E-2</v>
      </c>
      <c r="J315" s="30">
        <f t="shared" si="80"/>
        <v>0.35347810724736733</v>
      </c>
      <c r="K315" s="28" t="str">
        <f>'[1]Gurobi tests'!F274</f>
        <v>Infeasible</v>
      </c>
      <c r="L315" s="32">
        <f>'[1]Gurobi tests'!G274</f>
        <v>3782.66</v>
      </c>
      <c r="M315" s="29" t="s">
        <v>32</v>
      </c>
      <c r="N315" s="29" t="s">
        <v>32</v>
      </c>
      <c r="O315" s="29">
        <f t="shared" si="82"/>
        <v>-0.98076591604849506</v>
      </c>
      <c r="P315" s="14"/>
      <c r="Q315" s="20"/>
      <c r="R315" s="20"/>
      <c r="S315" s="2"/>
      <c r="T315" s="2"/>
      <c r="U315" s="2"/>
    </row>
    <row r="316" spans="1:21" x14ac:dyDescent="0.2">
      <c r="A316" s="19" t="s">
        <v>173</v>
      </c>
      <c r="B316" s="14" t="s">
        <v>290</v>
      </c>
      <c r="C316" s="28">
        <f>[1]ALNS!Z483</f>
        <v>232150.1</v>
      </c>
      <c r="D316" s="28">
        <f>[1]ALNS!AA483</f>
        <v>232150.1</v>
      </c>
      <c r="E316" s="29">
        <f>[1]ALNS!AD483</f>
        <v>0</v>
      </c>
      <c r="F316" s="28">
        <f>[1]ALNS!AE483</f>
        <v>73.515999999999991</v>
      </c>
      <c r="G316" s="28">
        <f>'[1]PFB tests'!F315</f>
        <v>239652.76827500001</v>
      </c>
      <c r="H316" s="28">
        <f>'[1]PFB tests'!G315</f>
        <v>67.303422707998806</v>
      </c>
      <c r="I316" s="30">
        <f t="shared" si="79"/>
        <v>-3.1306411893355389E-2</v>
      </c>
      <c r="J316" s="30">
        <f t="shared" si="80"/>
        <v>9.2307003745633276E-2</v>
      </c>
      <c r="K316" s="28">
        <f>'[1]Gurobi tests'!F275</f>
        <v>323717.37256840902</v>
      </c>
      <c r="L316" s="32">
        <f>'[1]Gurobi tests'!G275</f>
        <v>3844.08</v>
      </c>
      <c r="M316" s="29">
        <f>'[1]Gurobi tests'!H275/100</f>
        <v>0.58472404377658993</v>
      </c>
      <c r="N316" s="29">
        <f t="shared" ref="N316" si="83">(C316-K316)/K316</f>
        <v>-0.28286178107126059</v>
      </c>
      <c r="O316" s="29">
        <f t="shared" si="82"/>
        <v>-0.98087552808474332</v>
      </c>
      <c r="P316" s="14"/>
      <c r="Q316" s="20"/>
      <c r="R316" s="20"/>
      <c r="S316" s="2"/>
      <c r="T316" s="2"/>
      <c r="U316" s="2"/>
    </row>
    <row r="317" spans="1:21" ht="17" x14ac:dyDescent="0.2">
      <c r="A317" s="19" t="s">
        <v>174</v>
      </c>
      <c r="B317" s="14" t="s">
        <v>290</v>
      </c>
      <c r="C317" s="28">
        <f>[1]ALNS!Z484</f>
        <v>284690.65000000002</v>
      </c>
      <c r="D317" s="28">
        <f>[1]ALNS!AA484</f>
        <v>284690.65000000002</v>
      </c>
      <c r="E317" s="29">
        <f>[1]ALNS!AD484</f>
        <v>0</v>
      </c>
      <c r="F317" s="28">
        <f>[1]ALNS!AE484</f>
        <v>91.213999999999999</v>
      </c>
      <c r="G317" s="28">
        <f>'[1]PFB tests'!F316</f>
        <v>296725.82438499999</v>
      </c>
      <c r="H317" s="28">
        <f>'[1]PFB tests'!G316</f>
        <v>103.23519775</v>
      </c>
      <c r="I317" s="30">
        <f t="shared" si="79"/>
        <v>-4.0559915571704318E-2</v>
      </c>
      <c r="J317" s="30">
        <f t="shared" si="80"/>
        <v>-0.11644475926816344</v>
      </c>
      <c r="K317" s="28" t="str">
        <f>'[1]Gurobi tests'!F276</f>
        <v>Infeasible</v>
      </c>
      <c r="L317" s="32">
        <f>'[1]Gurobi tests'!G276</f>
        <v>4012.23</v>
      </c>
      <c r="M317" s="29" t="s">
        <v>32</v>
      </c>
      <c r="N317" s="29" t="s">
        <v>32</v>
      </c>
      <c r="O317" s="29">
        <f t="shared" si="82"/>
        <v>-0.97726600917694151</v>
      </c>
      <c r="P317" s="14"/>
      <c r="Q317" s="20"/>
      <c r="R317" s="20"/>
      <c r="S317" s="2"/>
      <c r="T317" s="2"/>
      <c r="U317" s="2"/>
    </row>
    <row r="318" spans="1:21" ht="17" x14ac:dyDescent="0.2">
      <c r="A318" s="19" t="s">
        <v>175</v>
      </c>
      <c r="B318" s="14" t="s">
        <v>290</v>
      </c>
      <c r="C318" s="28">
        <f>[1]ALNS!Z485</f>
        <v>292330.02</v>
      </c>
      <c r="D318" s="28">
        <f>[1]ALNS!AA485</f>
        <v>292330.02</v>
      </c>
      <c r="E318" s="29">
        <f>[1]ALNS!AD485</f>
        <v>0</v>
      </c>
      <c r="F318" s="28">
        <f>[1]ALNS!AE485</f>
        <v>121.13399999999999</v>
      </c>
      <c r="G318" s="28">
        <f>'[1]PFB tests'!F317</f>
        <v>302516.95244000002</v>
      </c>
      <c r="H318" s="28">
        <f>'[1]PFB tests'!G317</f>
        <v>432.79553699999798</v>
      </c>
      <c r="I318" s="30">
        <f t="shared" si="79"/>
        <v>-3.3673922594537699E-2</v>
      </c>
      <c r="J318" s="30">
        <f t="shared" si="80"/>
        <v>-0.72011264062549585</v>
      </c>
      <c r="K318" s="58" t="s">
        <v>15</v>
      </c>
      <c r="L318" s="58" t="s">
        <v>32</v>
      </c>
      <c r="M318" s="59" t="s">
        <v>32</v>
      </c>
      <c r="N318" s="59" t="s">
        <v>32</v>
      </c>
      <c r="O318" s="29" t="s">
        <v>32</v>
      </c>
      <c r="P318" s="14"/>
      <c r="Q318" s="20"/>
      <c r="R318" s="20"/>
      <c r="S318" s="2"/>
      <c r="T318" s="2"/>
      <c r="U318" s="2"/>
    </row>
    <row r="319" spans="1:21" ht="17" x14ac:dyDescent="0.2">
      <c r="A319" s="19" t="s">
        <v>176</v>
      </c>
      <c r="B319" s="14" t="s">
        <v>290</v>
      </c>
      <c r="C319" s="28">
        <f>[1]ALNS!Z486</f>
        <v>319188.78999999998</v>
      </c>
      <c r="D319" s="28">
        <f>[1]ALNS!AA486</f>
        <v>319188.78999999998</v>
      </c>
      <c r="E319" s="29">
        <f>[1]ALNS!AD486</f>
        <v>0</v>
      </c>
      <c r="F319" s="28">
        <f>[1]ALNS!AE486</f>
        <v>124.97800000000002</v>
      </c>
      <c r="G319" s="28">
        <f>'[1]PFB tests'!F318</f>
        <v>328457.35243999999</v>
      </c>
      <c r="H319" s="28">
        <f>'[1]PFB tests'!G318</f>
        <v>5713.19691241699</v>
      </c>
      <c r="I319" s="30">
        <f t="shared" si="79"/>
        <v>-2.8218465414602392E-2</v>
      </c>
      <c r="J319" s="30">
        <f t="shared" si="80"/>
        <v>-0.97812468186972967</v>
      </c>
      <c r="K319" s="58" t="s">
        <v>15</v>
      </c>
      <c r="L319" s="58" t="s">
        <v>32</v>
      </c>
      <c r="M319" s="59" t="s">
        <v>32</v>
      </c>
      <c r="N319" s="59" t="s">
        <v>32</v>
      </c>
      <c r="O319" s="32" t="s">
        <v>32</v>
      </c>
      <c r="P319" s="14"/>
      <c r="Q319" s="20"/>
      <c r="R319" s="20"/>
      <c r="S319" s="2"/>
      <c r="T319" s="2"/>
      <c r="U319" s="2"/>
    </row>
    <row r="320" spans="1:21" ht="17" x14ac:dyDescent="0.2">
      <c r="A320" s="19" t="s">
        <v>177</v>
      </c>
      <c r="B320" s="14" t="s">
        <v>290</v>
      </c>
      <c r="C320" s="28">
        <f>[1]ALNS!Z487</f>
        <v>349683.52</v>
      </c>
      <c r="D320" s="28">
        <f>[1]ALNS!AA487</f>
        <v>349683.52</v>
      </c>
      <c r="E320" s="29">
        <f>[1]ALNS!AD487</f>
        <v>0</v>
      </c>
      <c r="F320" s="28">
        <f>[1]ALNS!AE487</f>
        <v>176.23</v>
      </c>
      <c r="G320" s="58" t="s">
        <v>15</v>
      </c>
      <c r="H320" s="58" t="s">
        <v>32</v>
      </c>
      <c r="I320" s="59" t="s">
        <v>32</v>
      </c>
      <c r="J320" s="59" t="s">
        <v>32</v>
      </c>
      <c r="K320" s="58" t="s">
        <v>15</v>
      </c>
      <c r="L320" s="58" t="s">
        <v>32</v>
      </c>
      <c r="M320" s="59" t="s">
        <v>32</v>
      </c>
      <c r="N320" s="59" t="s">
        <v>32</v>
      </c>
      <c r="O320" s="32" t="s">
        <v>32</v>
      </c>
      <c r="P320" s="14"/>
      <c r="Q320" s="20"/>
      <c r="R320" s="20"/>
      <c r="S320" s="2"/>
      <c r="T320" s="2"/>
      <c r="U320" s="2"/>
    </row>
    <row r="321" spans="1:21" ht="17" x14ac:dyDescent="0.2">
      <c r="A321" s="19" t="s">
        <v>178</v>
      </c>
      <c r="B321" s="14" t="s">
        <v>290</v>
      </c>
      <c r="C321" s="28">
        <f>[1]ALNS!Z488</f>
        <v>378378.25000000006</v>
      </c>
      <c r="D321" s="28">
        <f>[1]ALNS!AA488</f>
        <v>377616.82</v>
      </c>
      <c r="E321" s="29">
        <f>[1]ALNS!AD488</f>
        <v>1.7269233421397007E-3</v>
      </c>
      <c r="F321" s="28">
        <f>[1]ALNS!AE488</f>
        <v>148.31199999999998</v>
      </c>
      <c r="G321" s="58" t="s">
        <v>15</v>
      </c>
      <c r="H321" s="58" t="s">
        <v>32</v>
      </c>
      <c r="I321" s="59" t="s">
        <v>32</v>
      </c>
      <c r="J321" s="59" t="s">
        <v>32</v>
      </c>
      <c r="K321" s="58" t="s">
        <v>15</v>
      </c>
      <c r="L321" s="58" t="s">
        <v>32</v>
      </c>
      <c r="M321" s="59" t="s">
        <v>32</v>
      </c>
      <c r="N321" s="59" t="s">
        <v>32</v>
      </c>
      <c r="O321" s="32" t="s">
        <v>32</v>
      </c>
      <c r="P321" s="14"/>
      <c r="Q321" s="20"/>
      <c r="R321" s="20"/>
      <c r="S321" s="2"/>
      <c r="T321" s="2"/>
      <c r="U321" s="2"/>
    </row>
    <row r="322" spans="1:21" x14ac:dyDescent="0.2">
      <c r="A322" s="14"/>
      <c r="B322" s="14"/>
      <c r="C322" s="28"/>
      <c r="D322" s="28"/>
      <c r="E322" s="29"/>
      <c r="F322" s="28"/>
      <c r="G322" s="32"/>
      <c r="H322" s="32"/>
      <c r="I322" s="32"/>
      <c r="J322" s="32"/>
      <c r="K322" s="32"/>
      <c r="L322" s="32"/>
      <c r="M322" s="32"/>
      <c r="N322" s="32"/>
      <c r="O322" s="32"/>
      <c r="P322" s="14"/>
      <c r="Q322" s="20"/>
      <c r="R322" s="20"/>
      <c r="S322" s="2"/>
      <c r="T322" s="2"/>
      <c r="U322" s="2"/>
    </row>
    <row r="323" spans="1:21" ht="17" x14ac:dyDescent="0.2">
      <c r="A323" s="19" t="s">
        <v>179</v>
      </c>
      <c r="B323" s="14" t="s">
        <v>290</v>
      </c>
      <c r="C323" s="28">
        <f>[1]ALNS!Z490</f>
        <v>150498.96</v>
      </c>
      <c r="D323" s="28">
        <f>[1]ALNS!AA490</f>
        <v>150498.96</v>
      </c>
      <c r="E323" s="29">
        <f>[1]ALNS!AD490</f>
        <v>0</v>
      </c>
      <c r="F323" s="28">
        <f>[1]ALNS!AE490</f>
        <v>55.676000000000002</v>
      </c>
      <c r="G323" s="32" t="str">
        <f>'[1]PFB tests'!F322</f>
        <v>Infeasible</v>
      </c>
      <c r="H323" s="28">
        <f>'[1]PFB tests'!G322</f>
        <v>21.092587625003901</v>
      </c>
      <c r="I323" s="30" t="s">
        <v>32</v>
      </c>
      <c r="J323" s="30">
        <f>(F323-H323)/H323</f>
        <v>1.6396002704760462</v>
      </c>
      <c r="K323" s="28">
        <f>'[1]Gurobi tests'!F279</f>
        <v>150498.93998447899</v>
      </c>
      <c r="L323" s="32">
        <f>'[1]Gurobi tests'!G279</f>
        <v>876.03</v>
      </c>
      <c r="M323" s="29">
        <f>'[1]Gurobi tests'!H279/100</f>
        <v>0</v>
      </c>
      <c r="N323" s="29">
        <f>(C323-K323)/K323</f>
        <v>1.3299443176252101E-7</v>
      </c>
      <c r="O323" s="29">
        <f>(F323-L323)/L323</f>
        <v>-0.93644509891213767</v>
      </c>
      <c r="P323" s="14"/>
      <c r="Q323" s="20"/>
      <c r="R323" s="20"/>
      <c r="S323" s="2"/>
      <c r="T323" s="2"/>
      <c r="U323" s="2"/>
    </row>
    <row r="324" spans="1:21" ht="17" x14ac:dyDescent="0.2">
      <c r="A324" s="19" t="s">
        <v>180</v>
      </c>
      <c r="B324" s="14" t="s">
        <v>290</v>
      </c>
      <c r="C324" s="28">
        <f>[1]ALNS!Z491</f>
        <v>239055.06</v>
      </c>
      <c r="D324" s="28">
        <f>[1]ALNS!AA491</f>
        <v>239055.06</v>
      </c>
      <c r="E324" s="29">
        <f>[1]ALNS!AD491</f>
        <v>0</v>
      </c>
      <c r="F324" s="28">
        <f>[1]ALNS!AE491</f>
        <v>94.701999999999998</v>
      </c>
      <c r="G324" s="32" t="str">
        <f>'[1]PFB tests'!F323</f>
        <v>Infeasible</v>
      </c>
      <c r="H324" s="28">
        <f>'[1]PFB tests'!G323</f>
        <v>28.714466291996299</v>
      </c>
      <c r="I324" s="30" t="s">
        <v>32</v>
      </c>
      <c r="J324" s="30">
        <f t="shared" ref="J324:J330" si="84">(F324-H324)/H324</f>
        <v>2.2980588612366679</v>
      </c>
      <c r="K324" s="28">
        <f>'[1]Gurobi tests'!F280</f>
        <v>238491.982999992</v>
      </c>
      <c r="L324" s="32">
        <f>'[1]Gurobi tests'!G280</f>
        <v>3649</v>
      </c>
      <c r="M324" s="29">
        <f>'[1]Gurobi tests'!H280/100</f>
        <v>0.47078331149845704</v>
      </c>
      <c r="N324" s="29">
        <f t="shared" ref="N324" si="85">(C324-K324)/K324</f>
        <v>2.3609892161784436E-3</v>
      </c>
      <c r="O324" s="29">
        <f t="shared" ref="O324:O327" si="86">(F324-L324)/L324</f>
        <v>-0.97404713620169903</v>
      </c>
      <c r="P324" s="14"/>
      <c r="Q324" s="20"/>
      <c r="R324" s="20"/>
      <c r="S324" s="2"/>
      <c r="T324" s="2"/>
      <c r="U324" s="2"/>
    </row>
    <row r="325" spans="1:21" ht="17" x14ac:dyDescent="0.2">
      <c r="A325" s="19" t="s">
        <v>181</v>
      </c>
      <c r="B325" s="14" t="s">
        <v>290</v>
      </c>
      <c r="C325" s="28">
        <f>[1]ALNS!Z492</f>
        <v>236739.64799999999</v>
      </c>
      <c r="D325" s="28">
        <f>[1]ALNS!AA492</f>
        <v>236320.19</v>
      </c>
      <c r="E325" s="29">
        <f>[1]ALNS!AD492</f>
        <v>2.1982143098265051E-3</v>
      </c>
      <c r="F325" s="28">
        <f>[1]ALNS!AE492</f>
        <v>86.655999999999992</v>
      </c>
      <c r="G325" s="28">
        <f>'[1]PFB tests'!F324</f>
        <v>239461.26449999999</v>
      </c>
      <c r="H325" s="28">
        <f>'[1]PFB tests'!G324</f>
        <v>69.497870541999802</v>
      </c>
      <c r="I325" s="30">
        <f>(C325-G325)/G325</f>
        <v>-1.1365581425800931E-2</v>
      </c>
      <c r="J325" s="30">
        <f t="shared" si="84"/>
        <v>0.24688712509012747</v>
      </c>
      <c r="K325" s="28" t="str">
        <f>'[1]Gurobi tests'!F281</f>
        <v>Infeasible</v>
      </c>
      <c r="L325" s="32">
        <f>'[1]Gurobi tests'!G281</f>
        <v>3708.86</v>
      </c>
      <c r="M325" s="29" t="s">
        <v>32</v>
      </c>
      <c r="N325" s="29" t="s">
        <v>32</v>
      </c>
      <c r="O325" s="29">
        <f t="shared" si="86"/>
        <v>-0.97663540818472527</v>
      </c>
      <c r="P325" s="14"/>
      <c r="Q325" s="20"/>
      <c r="R325" s="20"/>
      <c r="S325" s="2"/>
      <c r="T325" s="2"/>
      <c r="U325" s="2"/>
    </row>
    <row r="326" spans="1:21" ht="17" x14ac:dyDescent="0.2">
      <c r="A326" s="19" t="s">
        <v>182</v>
      </c>
      <c r="B326" s="14" t="s">
        <v>290</v>
      </c>
      <c r="C326" s="28">
        <f>[1]ALNS!Z493</f>
        <v>304129.91800000001</v>
      </c>
      <c r="D326" s="28">
        <f>[1]ALNS!AA493</f>
        <v>303922.32</v>
      </c>
      <c r="E326" s="29">
        <f>[1]ALNS!AD493</f>
        <v>1.5263320460073815E-3</v>
      </c>
      <c r="F326" s="28">
        <f>[1]ALNS!AE493</f>
        <v>124.41</v>
      </c>
      <c r="G326" s="28">
        <f>'[1]PFB tests'!F325</f>
        <v>316076.43724999903</v>
      </c>
      <c r="H326" s="28">
        <f>'[1]PFB tests'!G325</f>
        <v>106.02574091699999</v>
      </c>
      <c r="I326" s="30">
        <f>(C326-G326)/G326</f>
        <v>-3.7796298116806425E-2</v>
      </c>
      <c r="J326" s="30">
        <f t="shared" si="84"/>
        <v>0.17339429957289082</v>
      </c>
      <c r="K326" s="28" t="str">
        <f>'[1]Gurobi tests'!F282</f>
        <v>Infeasible</v>
      </c>
      <c r="L326" s="32">
        <f>'[1]Gurobi tests'!G282</f>
        <v>3780.5</v>
      </c>
      <c r="M326" s="29" t="s">
        <v>32</v>
      </c>
      <c r="N326" s="29" t="s">
        <v>32</v>
      </c>
      <c r="O326" s="29">
        <f t="shared" si="86"/>
        <v>-0.96709165454304991</v>
      </c>
      <c r="P326" s="14"/>
      <c r="Q326" s="20"/>
      <c r="R326" s="20"/>
      <c r="S326" s="2"/>
      <c r="T326" s="2"/>
      <c r="U326" s="2"/>
    </row>
    <row r="327" spans="1:21" ht="17" x14ac:dyDescent="0.2">
      <c r="A327" s="19" t="s">
        <v>225</v>
      </c>
      <c r="B327" s="14" t="s">
        <v>290</v>
      </c>
      <c r="C327" s="28">
        <f>[1]ALNS!Z494</f>
        <v>319299.47000000003</v>
      </c>
      <c r="D327" s="28">
        <f>[1]ALNS!AA494</f>
        <v>318948.78000000003</v>
      </c>
      <c r="E327" s="29">
        <f>[1]ALNS!AD494</f>
        <v>1.1393573124394401E-3</v>
      </c>
      <c r="F327" s="28">
        <f>[1]ALNS!AE494</f>
        <v>129.142</v>
      </c>
      <c r="G327" s="28">
        <f>'[1]PFB tests'!F326</f>
        <v>331197.29649999901</v>
      </c>
      <c r="H327" s="28">
        <f>'[1]PFB tests'!G326</f>
        <v>115.253447334005</v>
      </c>
      <c r="I327" s="30">
        <f>(C327-G327)/G327</f>
        <v>-3.5923682426553298E-2</v>
      </c>
      <c r="J327" s="30">
        <f t="shared" si="84"/>
        <v>0.12050444465878669</v>
      </c>
      <c r="K327" s="28" t="str">
        <f>'[1]Gurobi tests'!F283</f>
        <v>Infeasible</v>
      </c>
      <c r="L327" s="32">
        <f>'[1]Gurobi tests'!G283</f>
        <v>3841.19</v>
      </c>
      <c r="M327" s="29" t="s">
        <v>32</v>
      </c>
      <c r="N327" s="29" t="s">
        <v>32</v>
      </c>
      <c r="O327" s="29">
        <f t="shared" si="86"/>
        <v>-0.96637968962743326</v>
      </c>
      <c r="P327" s="14"/>
      <c r="Q327" s="20"/>
      <c r="R327" s="20"/>
      <c r="S327" s="2"/>
      <c r="T327" s="2"/>
      <c r="U327" s="2"/>
    </row>
    <row r="328" spans="1:21" ht="17" x14ac:dyDescent="0.2">
      <c r="A328" s="19" t="s">
        <v>184</v>
      </c>
      <c r="B328" s="14" t="s">
        <v>290</v>
      </c>
      <c r="C328" s="28">
        <f>[1]ALNS!Z495</f>
        <v>378384.50800000003</v>
      </c>
      <c r="D328" s="28">
        <f>[1]ALNS!AA495</f>
        <v>377118.53</v>
      </c>
      <c r="E328" s="29">
        <f>[1]ALNS!AD495</f>
        <v>2.2665142744939123E-3</v>
      </c>
      <c r="F328" s="28">
        <f>[1]ALNS!AE495</f>
        <v>231.81</v>
      </c>
      <c r="G328" s="28">
        <f>'[1]PFB tests'!F327</f>
        <v>393651.00899999897</v>
      </c>
      <c r="H328" s="28">
        <f>'[1]PFB tests'!G327</f>
        <v>223.80069924999401</v>
      </c>
      <c r="I328" s="30">
        <f>(C328-G328)/G328</f>
        <v>-3.8781816001896702E-2</v>
      </c>
      <c r="J328" s="30">
        <f t="shared" si="84"/>
        <v>3.5787648460647983E-2</v>
      </c>
      <c r="K328" s="58" t="s">
        <v>15</v>
      </c>
      <c r="L328" s="58" t="s">
        <v>32</v>
      </c>
      <c r="M328" s="59" t="s">
        <v>32</v>
      </c>
      <c r="N328" s="59" t="s">
        <v>32</v>
      </c>
      <c r="O328" s="32" t="s">
        <v>32</v>
      </c>
      <c r="P328" s="14"/>
      <c r="Q328" s="20"/>
      <c r="R328" s="20"/>
      <c r="S328" s="2"/>
      <c r="T328" s="2"/>
      <c r="U328" s="2"/>
    </row>
    <row r="329" spans="1:21" ht="17" x14ac:dyDescent="0.2">
      <c r="A329" s="19" t="s">
        <v>185</v>
      </c>
      <c r="B329" s="14" t="s">
        <v>290</v>
      </c>
      <c r="C329" s="28">
        <f>[1]ALNS!Z496</f>
        <v>390899.32</v>
      </c>
      <c r="D329" s="28">
        <f>[1]ALNS!AA496</f>
        <v>390658.81</v>
      </c>
      <c r="E329" s="29">
        <f>[1]ALNS!AD496</f>
        <v>9.2999080377136555E-4</v>
      </c>
      <c r="F329" s="28">
        <f>[1]ALNS!AE496</f>
        <v>301.88</v>
      </c>
      <c r="G329" s="28">
        <f>'[1]PFB tests'!F328</f>
        <v>401361.85174999997</v>
      </c>
      <c r="H329" s="28">
        <f>'[1]PFB tests'!G328</f>
        <v>1372.17312904199</v>
      </c>
      <c r="I329" s="30">
        <f t="shared" ref="I329:I330" si="87">(C329-G329)/G329</f>
        <v>-2.6067578930039571E-2</v>
      </c>
      <c r="J329" s="30">
        <f t="shared" si="84"/>
        <v>-0.77999860687349021</v>
      </c>
      <c r="K329" s="58" t="s">
        <v>15</v>
      </c>
      <c r="L329" s="58" t="s">
        <v>32</v>
      </c>
      <c r="M329" s="59" t="s">
        <v>32</v>
      </c>
      <c r="N329" s="59" t="s">
        <v>32</v>
      </c>
      <c r="O329" s="32" t="s">
        <v>32</v>
      </c>
      <c r="P329" s="14"/>
      <c r="Q329" s="20"/>
      <c r="R329" s="20"/>
      <c r="S329" s="2"/>
      <c r="T329" s="2"/>
      <c r="U329" s="2"/>
    </row>
    <row r="330" spans="1:21" ht="17" x14ac:dyDescent="0.2">
      <c r="A330" s="19" t="s">
        <v>186</v>
      </c>
      <c r="B330" s="14" t="s">
        <v>290</v>
      </c>
      <c r="C330" s="28">
        <f>[1]ALNS!Z497</f>
        <v>420571.66600000003</v>
      </c>
      <c r="D330" s="28">
        <f>[1]ALNS!AA497</f>
        <v>418730.33</v>
      </c>
      <c r="E330" s="29">
        <f>[1]ALNS!AD497</f>
        <v>2.5828597170197251E-3</v>
      </c>
      <c r="F330" s="28">
        <f>[1]ALNS!AE497</f>
        <v>325.07799999999997</v>
      </c>
      <c r="G330" s="28">
        <f>'[1]PFB tests'!F329</f>
        <v>429850.09024999902</v>
      </c>
      <c r="H330" s="28">
        <f>'[1]PFB tests'!G329</f>
        <v>9124.2306779169994</v>
      </c>
      <c r="I330" s="30">
        <f t="shared" si="87"/>
        <v>-2.158525602403084E-2</v>
      </c>
      <c r="J330" s="30">
        <f t="shared" si="84"/>
        <v>-0.96437200992881822</v>
      </c>
      <c r="K330" s="58" t="s">
        <v>15</v>
      </c>
      <c r="L330" s="58" t="s">
        <v>32</v>
      </c>
      <c r="M330" s="59" t="s">
        <v>32</v>
      </c>
      <c r="N330" s="59" t="s">
        <v>32</v>
      </c>
      <c r="O330" s="32" t="s">
        <v>32</v>
      </c>
      <c r="P330" s="14"/>
      <c r="Q330" s="20"/>
      <c r="R330" s="20"/>
      <c r="S330" s="2"/>
      <c r="T330" s="2"/>
      <c r="U330" s="2"/>
    </row>
    <row r="331" spans="1:21" x14ac:dyDescent="0.2">
      <c r="A331" s="19" t="s">
        <v>187</v>
      </c>
      <c r="B331" s="14" t="s">
        <v>290</v>
      </c>
      <c r="C331" s="28">
        <f>[1]ALNS!Z498</f>
        <v>463113.06799999997</v>
      </c>
      <c r="D331" s="28">
        <f>[1]ALNS!AA498</f>
        <v>462428.8</v>
      </c>
      <c r="E331" s="29">
        <f>[1]ALNS!AD498</f>
        <v>1.7635916798236814E-3</v>
      </c>
      <c r="F331" s="28">
        <f>[1]ALNS!AE498</f>
        <v>388.87</v>
      </c>
      <c r="G331" s="32"/>
      <c r="H331" s="32"/>
      <c r="I331" s="32"/>
      <c r="J331" s="30"/>
      <c r="K331" s="32"/>
      <c r="L331" s="32"/>
      <c r="M331" s="32"/>
      <c r="N331" s="32"/>
      <c r="O331" s="32"/>
      <c r="P331" s="14"/>
      <c r="Q331" s="20"/>
      <c r="R331" s="20"/>
      <c r="S331" s="2"/>
      <c r="T331" s="2"/>
      <c r="U331" s="2"/>
    </row>
    <row r="332" spans="1:21" x14ac:dyDescent="0.2">
      <c r="A332" s="19" t="s">
        <v>188</v>
      </c>
      <c r="B332" s="14" t="s">
        <v>290</v>
      </c>
      <c r="C332" s="28">
        <f>[1]ALNS!Z499</f>
        <v>496251.02</v>
      </c>
      <c r="D332" s="28">
        <f>[1]ALNS!AA499</f>
        <v>494681.64</v>
      </c>
      <c r="E332" s="29">
        <f>[1]ALNS!AD499</f>
        <v>3.0733028732453484E-3</v>
      </c>
      <c r="F332" s="28">
        <f>[1]ALNS!AE499</f>
        <v>428.14</v>
      </c>
      <c r="G332" s="32"/>
      <c r="H332" s="32"/>
      <c r="I332" s="32"/>
      <c r="J332" s="30"/>
      <c r="K332" s="32"/>
      <c r="L332" s="32"/>
      <c r="M332" s="32"/>
      <c r="N332" s="32"/>
      <c r="O332" s="32"/>
      <c r="P332" s="14"/>
      <c r="Q332" s="20"/>
      <c r="R332" s="20"/>
      <c r="S332" s="2"/>
      <c r="T332" s="2"/>
      <c r="U332" s="2"/>
    </row>
    <row r="333" spans="1:21" x14ac:dyDescent="0.2">
      <c r="A333" s="19"/>
      <c r="B333" s="14"/>
      <c r="C333" s="28"/>
      <c r="D333" s="28"/>
      <c r="E333" s="29"/>
      <c r="F333" s="28"/>
      <c r="G333" s="32"/>
      <c r="H333" s="32"/>
      <c r="I333" s="32"/>
      <c r="J333" s="32"/>
      <c r="K333" s="32"/>
      <c r="L333" s="32"/>
      <c r="M333" s="32"/>
      <c r="N333" s="32"/>
      <c r="O333" s="32"/>
      <c r="P333" s="14"/>
      <c r="Q333" s="20"/>
      <c r="R333" s="20"/>
      <c r="S333" s="2"/>
      <c r="T333" s="2"/>
      <c r="U333" s="2"/>
    </row>
    <row r="334" spans="1:21" ht="17" x14ac:dyDescent="0.2">
      <c r="A334" s="19" t="s">
        <v>189</v>
      </c>
      <c r="B334" s="14" t="s">
        <v>290</v>
      </c>
      <c r="C334" s="28" t="str">
        <f>[1]ALNS!Z501</f>
        <v>Infeasible</v>
      </c>
      <c r="D334" s="28" t="str">
        <f>[1]ALNS!AA501</f>
        <v>-</v>
      </c>
      <c r="E334" s="29" t="str">
        <f>[1]ALNS!AD501</f>
        <v>-</v>
      </c>
      <c r="F334" s="28">
        <f>[1]ALNS!AE501</f>
        <v>34.734000000000002</v>
      </c>
      <c r="G334" s="32" t="str">
        <f>'[1]PFB tests'!F333</f>
        <v>Infeasible</v>
      </c>
      <c r="H334" s="28">
        <f>'[1]PFB tests'!G333</f>
        <v>21.327504166998501</v>
      </c>
      <c r="I334" s="30" t="s">
        <v>32</v>
      </c>
      <c r="J334" s="30">
        <f>(F334-H334)/H334</f>
        <v>0.62860125254347776</v>
      </c>
      <c r="K334" s="32" t="str">
        <f>'[1]Gurobi tests'!F287</f>
        <v>Infeasible</v>
      </c>
      <c r="L334" s="32">
        <f>'[1]Gurobi tests'!G287</f>
        <v>3626.66</v>
      </c>
      <c r="M334" s="29" t="s">
        <v>32</v>
      </c>
      <c r="N334" s="29" t="s">
        <v>32</v>
      </c>
      <c r="O334" s="29">
        <f>(F334-L334)/L334</f>
        <v>-0.99042259268858956</v>
      </c>
      <c r="P334" s="14"/>
      <c r="Q334" s="20"/>
      <c r="R334" s="20"/>
      <c r="S334" s="2"/>
      <c r="T334" s="2"/>
      <c r="U334" s="2"/>
    </row>
    <row r="335" spans="1:21" ht="17" x14ac:dyDescent="0.2">
      <c r="A335" s="19" t="s">
        <v>190</v>
      </c>
      <c r="B335" s="14" t="s">
        <v>290</v>
      </c>
      <c r="C335" s="28" t="str">
        <f>[1]ALNS!Z502</f>
        <v>Infeasible</v>
      </c>
      <c r="D335" s="28" t="str">
        <f>[1]ALNS!AA502</f>
        <v>-</v>
      </c>
      <c r="E335" s="29" t="str">
        <f>[1]ALNS!AD502</f>
        <v>-</v>
      </c>
      <c r="F335" s="28">
        <f>[1]ALNS!AE502</f>
        <v>66.304000000000002</v>
      </c>
      <c r="G335" s="32" t="str">
        <f>'[1]PFB tests'!F334</f>
        <v>Infeasible</v>
      </c>
      <c r="H335" s="28">
        <f>'[1]PFB tests'!G334</f>
        <v>28.782894000003498</v>
      </c>
      <c r="I335" s="30" t="s">
        <v>32</v>
      </c>
      <c r="J335" s="30">
        <f t="shared" ref="J335:J341" si="88">(F335-H335)/H335</f>
        <v>1.3035904589716361</v>
      </c>
      <c r="K335" s="32" t="str">
        <f>'[1]Gurobi tests'!F288</f>
        <v>Infeasible</v>
      </c>
      <c r="L335" s="32">
        <f>'[1]Gurobi tests'!G288</f>
        <v>3647.79</v>
      </c>
      <c r="M335" s="29" t="s">
        <v>32</v>
      </c>
      <c r="N335" s="29" t="s">
        <v>32</v>
      </c>
      <c r="O335" s="29">
        <f t="shared" ref="O335:O338" si="89">(F335-L335)/L335</f>
        <v>-0.98182351505980325</v>
      </c>
      <c r="P335" s="14"/>
      <c r="Q335" s="20"/>
      <c r="R335" s="20"/>
      <c r="S335" s="2"/>
      <c r="T335" s="2"/>
      <c r="U335" s="2"/>
    </row>
    <row r="336" spans="1:21" ht="17" x14ac:dyDescent="0.2">
      <c r="A336" s="19" t="s">
        <v>226</v>
      </c>
      <c r="B336" s="14" t="s">
        <v>290</v>
      </c>
      <c r="C336" s="28">
        <f>[1]ALNS!Z503</f>
        <v>286876.81</v>
      </c>
      <c r="D336" s="28">
        <f>[1]ALNS!AA503</f>
        <v>286876.81</v>
      </c>
      <c r="E336" s="29">
        <f>[1]ALNS!AD503</f>
        <v>0</v>
      </c>
      <c r="F336" s="28">
        <f>[1]ALNS!AE503</f>
        <v>165.69</v>
      </c>
      <c r="G336" s="32" t="str">
        <f>'[1]PFB tests'!F335</f>
        <v>Infeasible</v>
      </c>
      <c r="H336" s="28">
        <f>'[1]PFB tests'!G335</f>
        <v>73.550819124997304</v>
      </c>
      <c r="I336" s="30" t="s">
        <v>32</v>
      </c>
      <c r="J336" s="30">
        <f t="shared" si="88"/>
        <v>1.2527281405039834</v>
      </c>
      <c r="K336" s="32" t="str">
        <f>'[1]Gurobi tests'!F289</f>
        <v>Infeasible</v>
      </c>
      <c r="L336" s="32">
        <f>'[1]Gurobi tests'!G289</f>
        <v>3708.07</v>
      </c>
      <c r="M336" s="29" t="s">
        <v>32</v>
      </c>
      <c r="N336" s="29" t="s">
        <v>32</v>
      </c>
      <c r="O336" s="29">
        <f t="shared" si="89"/>
        <v>-0.95531637752253862</v>
      </c>
      <c r="P336" s="14"/>
      <c r="Q336" s="20"/>
      <c r="R336" s="20"/>
      <c r="S336" s="2"/>
      <c r="T336" s="2"/>
      <c r="U336" s="2"/>
    </row>
    <row r="337" spans="1:21" ht="17" x14ac:dyDescent="0.2">
      <c r="A337" s="19" t="s">
        <v>192</v>
      </c>
      <c r="B337" s="14" t="s">
        <v>290</v>
      </c>
      <c r="C337" s="28">
        <f>[1]ALNS!Z504</f>
        <v>373597.66600000003</v>
      </c>
      <c r="D337" s="28">
        <f>[1]ALNS!AA504</f>
        <v>373098.27</v>
      </c>
      <c r="E337" s="29">
        <f>[1]ALNS!AD504</f>
        <v>7.5418885066503574E-4</v>
      </c>
      <c r="F337" s="28">
        <f>[1]ALNS!AE504</f>
        <v>247.946</v>
      </c>
      <c r="G337" s="32" t="str">
        <f>'[1]PFB tests'!F336</f>
        <v>Infeasible</v>
      </c>
      <c r="H337" s="28">
        <f>'[1]PFB tests'!G336</f>
        <v>203.66031562499799</v>
      </c>
      <c r="I337" s="30" t="s">
        <v>32</v>
      </c>
      <c r="J337" s="30">
        <f t="shared" si="88"/>
        <v>0.21744876629056065</v>
      </c>
      <c r="K337" s="32" t="str">
        <f>'[1]Gurobi tests'!F290</f>
        <v>Infeasible</v>
      </c>
      <c r="L337" s="32">
        <f>'[1]Gurobi tests'!G290</f>
        <v>3780.44</v>
      </c>
      <c r="M337" s="29" t="s">
        <v>32</v>
      </c>
      <c r="N337" s="29" t="s">
        <v>32</v>
      </c>
      <c r="O337" s="29">
        <f t="shared" si="89"/>
        <v>-0.93441345451852165</v>
      </c>
      <c r="P337" s="14"/>
      <c r="Q337" s="20"/>
      <c r="R337" s="20"/>
      <c r="S337" s="2"/>
      <c r="T337" s="2"/>
      <c r="U337" s="2"/>
    </row>
    <row r="338" spans="1:21" ht="17" x14ac:dyDescent="0.2">
      <c r="A338" s="19" t="s">
        <v>227</v>
      </c>
      <c r="B338" s="14" t="s">
        <v>290</v>
      </c>
      <c r="C338" s="28">
        <f>[1]ALNS!Z505</f>
        <v>391859.02600000001</v>
      </c>
      <c r="D338" s="28">
        <f>[1]ALNS!AA505</f>
        <v>391550.76</v>
      </c>
      <c r="E338" s="29">
        <f>[1]ALNS!AD505</f>
        <v>1.0797379101287171E-3</v>
      </c>
      <c r="F338" s="28">
        <f>[1]ALNS!AE505</f>
        <v>296.65199999999993</v>
      </c>
      <c r="G338" s="28">
        <f>'[1]PFB tests'!F337</f>
        <v>401553.7904</v>
      </c>
      <c r="H338" s="28">
        <f>'[1]PFB tests'!G337</f>
        <v>226.578564875002</v>
      </c>
      <c r="I338" s="30">
        <f>(C338-G338)/G338</f>
        <v>-2.414312760027177E-2</v>
      </c>
      <c r="J338" s="30">
        <f t="shared" si="88"/>
        <v>0.30926771543308068</v>
      </c>
      <c r="K338" s="32" t="str">
        <f>'[1]Gurobi tests'!F291</f>
        <v>Infeasible</v>
      </c>
      <c r="L338" s="32">
        <f>'[1]Gurobi tests'!G291</f>
        <v>3842.36</v>
      </c>
      <c r="M338" s="29" t="s">
        <v>32</v>
      </c>
      <c r="N338" s="29" t="s">
        <v>32</v>
      </c>
      <c r="O338" s="29">
        <f t="shared" si="89"/>
        <v>-0.92279432432151076</v>
      </c>
      <c r="P338" s="14"/>
      <c r="Q338" s="20"/>
      <c r="R338" s="20"/>
      <c r="S338" s="2"/>
      <c r="T338" s="2"/>
      <c r="U338" s="2"/>
    </row>
    <row r="339" spans="1:21" ht="17" x14ac:dyDescent="0.2">
      <c r="A339" s="19" t="s">
        <v>228</v>
      </c>
      <c r="B339" s="14" t="s">
        <v>290</v>
      </c>
      <c r="C339" s="28">
        <f>[1]ALNS!Z506</f>
        <v>457438.60599999997</v>
      </c>
      <c r="D339" s="28">
        <f>[1]ALNS!AA506</f>
        <v>456476.13</v>
      </c>
      <c r="E339" s="29">
        <f>[1]ALNS!AD506</f>
        <v>1.2546175105208571E-3</v>
      </c>
      <c r="F339" s="28">
        <f>[1]ALNS!AE506</f>
        <v>441.48</v>
      </c>
      <c r="G339" s="32" t="str">
        <f>'[1]PFB tests'!F338</f>
        <v>Infeasible</v>
      </c>
      <c r="H339" s="28">
        <f>'[1]PFB tests'!G338</f>
        <v>354.62450529200498</v>
      </c>
      <c r="I339" s="30" t="s">
        <v>32</v>
      </c>
      <c r="J339" s="30">
        <f t="shared" si="88"/>
        <v>0.244922427558909</v>
      </c>
      <c r="K339" s="58" t="s">
        <v>15</v>
      </c>
      <c r="L339" s="58" t="s">
        <v>32</v>
      </c>
      <c r="M339" s="59" t="s">
        <v>32</v>
      </c>
      <c r="N339" s="59" t="s">
        <v>32</v>
      </c>
      <c r="O339" s="32" t="s">
        <v>32</v>
      </c>
      <c r="P339" s="14"/>
      <c r="Q339" s="20"/>
      <c r="R339" s="20"/>
      <c r="S339" s="2"/>
      <c r="T339" s="2"/>
      <c r="U339" s="2"/>
    </row>
    <row r="340" spans="1:21" ht="17" x14ac:dyDescent="0.2">
      <c r="A340" s="19" t="s">
        <v>229</v>
      </c>
      <c r="B340" s="14" t="s">
        <v>290</v>
      </c>
      <c r="C340" s="28">
        <f>[1]ALNS!Z507</f>
        <v>470857.69399999996</v>
      </c>
      <c r="D340" s="28">
        <f>[1]ALNS!AA507</f>
        <v>469985.85</v>
      </c>
      <c r="E340" s="29">
        <f>[1]ALNS!AD507</f>
        <v>2.4986652354055815E-3</v>
      </c>
      <c r="F340" s="28">
        <f>[1]ALNS!AE507</f>
        <v>677.47199999999998</v>
      </c>
      <c r="G340" s="32" t="str">
        <f>'[1]PFB tests'!F339</f>
        <v>Infeasible</v>
      </c>
      <c r="H340" s="28">
        <f>'[1]PFB tests'!G339</f>
        <v>1347.325460625</v>
      </c>
      <c r="I340" s="30" t="s">
        <v>32</v>
      </c>
      <c r="J340" s="30">
        <f t="shared" si="88"/>
        <v>-0.49717271750677605</v>
      </c>
      <c r="K340" s="58" t="s">
        <v>15</v>
      </c>
      <c r="L340" s="58" t="s">
        <v>32</v>
      </c>
      <c r="M340" s="59" t="s">
        <v>32</v>
      </c>
      <c r="N340" s="59" t="s">
        <v>32</v>
      </c>
      <c r="O340" s="32" t="s">
        <v>32</v>
      </c>
      <c r="P340" s="14"/>
      <c r="Q340" s="20"/>
      <c r="R340" s="20"/>
      <c r="S340" s="2"/>
      <c r="T340" s="2"/>
      <c r="U340" s="2"/>
    </row>
    <row r="341" spans="1:21" ht="17" x14ac:dyDescent="0.2">
      <c r="A341" s="19" t="s">
        <v>196</v>
      </c>
      <c r="B341" s="14" t="s">
        <v>290</v>
      </c>
      <c r="C341" s="28">
        <f>[1]ALNS!Z508</f>
        <v>500790.9</v>
      </c>
      <c r="D341" s="28">
        <f>[1]ALNS!AA508</f>
        <v>499656.79</v>
      </c>
      <c r="E341" s="29">
        <f>[1]ALNS!AD508</f>
        <v>1.5807823943344971E-3</v>
      </c>
      <c r="F341" s="28">
        <f>[1]ALNS!AE508</f>
        <v>1488.2139999999999</v>
      </c>
      <c r="G341" s="32" t="str">
        <f>'[1]PFB tests'!F340</f>
        <v>Infeasible</v>
      </c>
      <c r="H341" s="28">
        <f>'[1]PFB tests'!G340</f>
        <v>11775.757305542</v>
      </c>
      <c r="I341" s="30" t="s">
        <v>32</v>
      </c>
      <c r="J341" s="30">
        <f t="shared" si="88"/>
        <v>-0.87362052720807981</v>
      </c>
      <c r="K341" s="58" t="s">
        <v>15</v>
      </c>
      <c r="L341" s="58" t="s">
        <v>32</v>
      </c>
      <c r="M341" s="59" t="s">
        <v>32</v>
      </c>
      <c r="N341" s="59" t="s">
        <v>32</v>
      </c>
      <c r="O341" s="32" t="s">
        <v>32</v>
      </c>
      <c r="P341" s="14"/>
      <c r="Q341" s="20"/>
      <c r="R341" s="20"/>
      <c r="S341" s="2"/>
      <c r="T341" s="2"/>
      <c r="U341" s="2"/>
    </row>
    <row r="342" spans="1:21" ht="17" x14ac:dyDescent="0.2">
      <c r="A342" s="19" t="s">
        <v>230</v>
      </c>
      <c r="B342" s="14" t="s">
        <v>290</v>
      </c>
      <c r="C342" s="28">
        <f>[1]ALNS!Z509</f>
        <v>554270.80000000005</v>
      </c>
      <c r="D342" s="28">
        <f>[1]ALNS!AA509</f>
        <v>552901.18000000005</v>
      </c>
      <c r="E342" s="29">
        <f>[1]ALNS!AD509</f>
        <v>3.0466833376354319E-3</v>
      </c>
      <c r="F342" s="28">
        <f>[1]ALNS!AE509</f>
        <v>1801.3619999999999</v>
      </c>
      <c r="G342" s="58" t="s">
        <v>15</v>
      </c>
      <c r="H342" s="58" t="s">
        <v>32</v>
      </c>
      <c r="I342" s="59" t="s">
        <v>32</v>
      </c>
      <c r="J342" s="59" t="s">
        <v>32</v>
      </c>
      <c r="K342" s="58" t="s">
        <v>15</v>
      </c>
      <c r="L342" s="58" t="s">
        <v>32</v>
      </c>
      <c r="M342" s="59" t="s">
        <v>32</v>
      </c>
      <c r="N342" s="59" t="s">
        <v>32</v>
      </c>
      <c r="O342" s="32" t="s">
        <v>32</v>
      </c>
      <c r="P342" s="14"/>
      <c r="Q342" s="20"/>
      <c r="R342" s="20"/>
      <c r="S342" s="2"/>
      <c r="T342" s="2"/>
      <c r="U342" s="2"/>
    </row>
    <row r="343" spans="1:21" ht="17" x14ac:dyDescent="0.2">
      <c r="A343" s="19" t="s">
        <v>198</v>
      </c>
      <c r="B343" s="14" t="s">
        <v>290</v>
      </c>
      <c r="C343" s="28">
        <f>[1]ALNS!Z510</f>
        <v>590625.73599999992</v>
      </c>
      <c r="D343" s="28">
        <f>[1]ALNS!AA510</f>
        <v>586982.19999999995</v>
      </c>
      <c r="E343" s="29">
        <f>[1]ALNS!AD510</f>
        <v>4.1881971155026633E-3</v>
      </c>
      <c r="F343" s="28">
        <f>[1]ALNS!AE510</f>
        <v>2185.8360000000002</v>
      </c>
      <c r="G343" s="58" t="s">
        <v>15</v>
      </c>
      <c r="H343" s="58" t="s">
        <v>32</v>
      </c>
      <c r="I343" s="59" t="s">
        <v>32</v>
      </c>
      <c r="J343" s="59" t="s">
        <v>32</v>
      </c>
      <c r="K343" s="58" t="s">
        <v>15</v>
      </c>
      <c r="L343" s="58" t="s">
        <v>32</v>
      </c>
      <c r="M343" s="59" t="s">
        <v>32</v>
      </c>
      <c r="N343" s="59" t="s">
        <v>32</v>
      </c>
      <c r="O343" s="32" t="s">
        <v>32</v>
      </c>
      <c r="P343" s="14"/>
      <c r="Q343" s="20"/>
      <c r="R343" s="20"/>
      <c r="S343" s="2"/>
      <c r="T343" s="2"/>
      <c r="U343" s="2"/>
    </row>
    <row r="344" spans="1:21" x14ac:dyDescent="0.2">
      <c r="A344" s="14"/>
      <c r="B344" s="14"/>
      <c r="C344" s="32"/>
      <c r="D344" s="32"/>
      <c r="E344" s="32"/>
      <c r="F344" s="32"/>
      <c r="G344" s="32"/>
      <c r="H344" s="32"/>
      <c r="I344" s="32"/>
      <c r="J344" s="32"/>
      <c r="K344" s="32"/>
      <c r="L344" s="32"/>
      <c r="M344" s="32"/>
      <c r="N344" s="32"/>
      <c r="O344" s="32"/>
      <c r="P344" s="14"/>
      <c r="Q344" s="20"/>
      <c r="R344" s="20"/>
      <c r="S344" s="2"/>
      <c r="T344" s="2"/>
      <c r="U344" s="2"/>
    </row>
    <row r="345" spans="1:21" x14ac:dyDescent="0.2">
      <c r="A345" s="14" t="s">
        <v>231</v>
      </c>
      <c r="B345" s="14" t="s">
        <v>290</v>
      </c>
      <c r="C345" s="28">
        <f>[1]ALNS!Z512</f>
        <v>396682.83399999997</v>
      </c>
      <c r="D345" s="28">
        <f>[1]ALNS!AA512</f>
        <v>393596.26</v>
      </c>
      <c r="E345" s="29">
        <f>[1]ALNS!AD512</f>
        <v>7.8520323396107979E-3</v>
      </c>
      <c r="F345" s="28">
        <f>[1]ALNS!AE512</f>
        <v>263.07799999999997</v>
      </c>
      <c r="G345" s="32"/>
      <c r="H345" s="32"/>
      <c r="I345" s="32"/>
      <c r="J345" s="32"/>
      <c r="K345" s="32"/>
      <c r="L345" s="32"/>
      <c r="M345" s="32"/>
      <c r="N345" s="32"/>
      <c r="O345" s="32"/>
      <c r="P345" s="14"/>
      <c r="Q345" s="20"/>
      <c r="R345" s="20"/>
      <c r="S345" s="2"/>
      <c r="T345" s="2"/>
      <c r="U345" s="2"/>
    </row>
    <row r="346" spans="1:21" x14ac:dyDescent="0.2">
      <c r="A346" s="14" t="s">
        <v>232</v>
      </c>
      <c r="B346" s="14" t="s">
        <v>290</v>
      </c>
      <c r="C346" s="28">
        <f>[1]ALNS!Z513</f>
        <v>529802.01799999992</v>
      </c>
      <c r="D346" s="28">
        <f>[1]ALNS!AA513</f>
        <v>528282.39</v>
      </c>
      <c r="E346" s="29">
        <f>[1]ALNS!AD513</f>
        <v>2.0624894972766233E-3</v>
      </c>
      <c r="F346" s="28">
        <f>[1]ALNS!AE513</f>
        <v>674.71600000000001</v>
      </c>
      <c r="G346" s="32"/>
      <c r="H346" s="32"/>
      <c r="I346" s="32"/>
      <c r="J346" s="32"/>
      <c r="K346" s="32"/>
      <c r="L346" s="32"/>
      <c r="M346" s="32"/>
      <c r="N346" s="32"/>
      <c r="O346" s="32"/>
      <c r="P346" s="14"/>
      <c r="Q346" s="20"/>
      <c r="R346" s="20"/>
      <c r="S346" s="2"/>
      <c r="T346" s="2"/>
      <c r="U346" s="2"/>
    </row>
    <row r="347" spans="1:21" x14ac:dyDescent="0.2">
      <c r="A347" s="14" t="s">
        <v>233</v>
      </c>
      <c r="B347" s="14" t="s">
        <v>290</v>
      </c>
      <c r="C347" s="28">
        <f>[1]ALNS!Z514</f>
        <v>627638.14199999999</v>
      </c>
      <c r="D347" s="28">
        <f>[1]ALNS!AA514</f>
        <v>610607.38</v>
      </c>
      <c r="E347" s="29">
        <f>[1]ALNS!AD514</f>
        <v>1.528141901946182E-2</v>
      </c>
      <c r="F347" s="28">
        <f>[1]ALNS!AE514</f>
        <v>2684.2539999999999</v>
      </c>
      <c r="G347" s="32"/>
      <c r="H347" s="32"/>
      <c r="I347" s="32"/>
      <c r="J347" s="32"/>
      <c r="K347" s="32"/>
      <c r="L347" s="32"/>
      <c r="M347" s="32"/>
      <c r="N347" s="32"/>
      <c r="O347" s="32"/>
      <c r="P347" s="14"/>
      <c r="Q347" s="20"/>
      <c r="R347" s="20"/>
      <c r="S347" s="2"/>
      <c r="T347" s="2"/>
      <c r="U347" s="2"/>
    </row>
    <row r="348" spans="1:21" x14ac:dyDescent="0.2">
      <c r="A348" s="14"/>
      <c r="B348" s="14"/>
      <c r="C348" s="32"/>
      <c r="D348" s="32"/>
      <c r="E348" s="32"/>
      <c r="F348" s="32"/>
      <c r="G348" s="32"/>
      <c r="H348" s="32"/>
      <c r="I348" s="32"/>
      <c r="J348" s="32"/>
      <c r="K348" s="32"/>
      <c r="L348" s="32"/>
      <c r="M348" s="32"/>
      <c r="N348" s="32"/>
      <c r="O348" s="32"/>
      <c r="P348" s="14"/>
      <c r="Q348" s="20"/>
      <c r="R348" s="20"/>
      <c r="S348" s="2"/>
      <c r="T348" s="2"/>
      <c r="U348" s="2"/>
    </row>
    <row r="349" spans="1:21" x14ac:dyDescent="0.2">
      <c r="A349" s="14"/>
      <c r="B349" s="14"/>
      <c r="C349" s="32"/>
      <c r="D349" s="32"/>
      <c r="E349" s="32"/>
      <c r="F349" s="32"/>
      <c r="G349" s="32"/>
      <c r="H349" s="32"/>
      <c r="I349" s="32"/>
      <c r="J349" s="32"/>
      <c r="K349" s="32"/>
      <c r="L349" s="32"/>
      <c r="M349" s="32"/>
      <c r="N349" s="32"/>
      <c r="O349" s="32"/>
      <c r="P349" s="14"/>
      <c r="Q349" s="20"/>
      <c r="R349" s="20"/>
      <c r="S349" s="2"/>
      <c r="T349" s="2"/>
      <c r="U349" s="2"/>
    </row>
    <row r="350" spans="1:21" x14ac:dyDescent="0.2">
      <c r="A350" s="14"/>
      <c r="B350" s="14"/>
      <c r="C350" s="32"/>
      <c r="D350" s="32"/>
      <c r="E350" s="32"/>
      <c r="F350" s="32"/>
      <c r="G350" s="32"/>
      <c r="H350" s="32"/>
      <c r="I350" s="32"/>
      <c r="J350" s="32"/>
      <c r="K350" s="32"/>
      <c r="L350" s="32"/>
      <c r="M350" s="32"/>
      <c r="N350" s="32"/>
      <c r="O350" s="32"/>
      <c r="P350" s="14"/>
      <c r="Q350" s="20"/>
      <c r="R350" s="20"/>
      <c r="S350" s="2"/>
      <c r="T350" s="2"/>
      <c r="U350" s="2"/>
    </row>
    <row r="351" spans="1:21" ht="19" x14ac:dyDescent="0.25">
      <c r="A351" s="35" t="s">
        <v>31</v>
      </c>
      <c r="B351" s="14"/>
      <c r="C351" s="32"/>
      <c r="D351" s="32"/>
      <c r="E351" s="32"/>
      <c r="F351" s="32"/>
      <c r="G351" s="32"/>
      <c r="H351" s="32"/>
      <c r="I351" s="32"/>
      <c r="J351" s="32"/>
      <c r="K351" s="32"/>
      <c r="L351" s="32"/>
      <c r="M351" s="32"/>
      <c r="N351" s="32"/>
      <c r="O351" s="32"/>
      <c r="P351" s="14"/>
      <c r="Q351" s="20"/>
      <c r="R351" s="20"/>
      <c r="S351" s="2"/>
      <c r="T351" s="2"/>
      <c r="U351" s="2"/>
    </row>
    <row r="352" spans="1:21" x14ac:dyDescent="0.2">
      <c r="A352" s="36"/>
      <c r="B352" s="14"/>
      <c r="C352" s="32"/>
      <c r="D352" s="32"/>
      <c r="E352" s="32"/>
      <c r="F352" s="32"/>
      <c r="G352" s="32"/>
      <c r="H352" s="32"/>
      <c r="I352" s="32"/>
      <c r="J352" s="32"/>
      <c r="K352" s="32"/>
      <c r="L352" s="32"/>
      <c r="M352" s="32"/>
      <c r="N352" s="32"/>
      <c r="O352" s="32"/>
      <c r="P352" s="14"/>
      <c r="Q352" s="20"/>
      <c r="R352" s="20"/>
      <c r="S352" s="2"/>
      <c r="T352" s="2"/>
      <c r="U352" s="2"/>
    </row>
    <row r="353" spans="1:21" x14ac:dyDescent="0.2">
      <c r="A353" s="19" t="s">
        <v>49</v>
      </c>
      <c r="B353" s="14">
        <v>2400</v>
      </c>
      <c r="C353" s="28">
        <f>[1]ALNS!Z6</f>
        <v>45047.16</v>
      </c>
      <c r="D353" s="28">
        <f>[1]ALNS!AA6</f>
        <v>45047.16</v>
      </c>
      <c r="E353" s="29">
        <f>[1]ALNS!AD6</f>
        <v>0</v>
      </c>
      <c r="F353" s="28">
        <f>[1]ALNS!AE6</f>
        <v>17.661999999999999</v>
      </c>
      <c r="G353" s="28">
        <f>'[1]PFB tests'!F352</f>
        <v>45047.16</v>
      </c>
      <c r="H353" s="28">
        <f>'[1]PFB tests'!G352</f>
        <v>21.303289167000901</v>
      </c>
      <c r="I353" s="30">
        <f t="shared" ref="I353:I360" si="90">(C353-G353)/G353</f>
        <v>0</v>
      </c>
      <c r="J353" s="30">
        <f>(F353-H353)/(H353)</f>
        <v>-0.17092614846731327</v>
      </c>
      <c r="K353" s="28">
        <f>'[1]Gurobi tests'!F297</f>
        <v>45047.159999999902</v>
      </c>
      <c r="L353" s="28">
        <f>'[1]Gurobi tests'!G297</f>
        <v>135.13999999999999</v>
      </c>
      <c r="M353" s="29">
        <f>'[1]Gurobi tests'!H297/100</f>
        <v>0</v>
      </c>
      <c r="N353" s="29">
        <f t="shared" ref="N353:N359" si="91">(C353-K353)/K353</f>
        <v>2.2612614557403437E-15</v>
      </c>
      <c r="O353" s="29">
        <f>(F353-L353)/L353</f>
        <v>-0.86930590498742044</v>
      </c>
      <c r="P353" s="14"/>
      <c r="Q353" s="20"/>
      <c r="R353" s="20"/>
      <c r="S353" s="2"/>
      <c r="T353" s="2"/>
      <c r="U353" s="2"/>
    </row>
    <row r="354" spans="1:21" x14ac:dyDescent="0.2">
      <c r="A354" s="19" t="s">
        <v>50</v>
      </c>
      <c r="B354" s="14">
        <v>2400</v>
      </c>
      <c r="C354" s="28">
        <f>[1]ALNS!Z7</f>
        <v>70318.98</v>
      </c>
      <c r="D354" s="28">
        <f>[1]ALNS!AA7</f>
        <v>70318.98</v>
      </c>
      <c r="E354" s="29">
        <f>[1]ALNS!AD7</f>
        <v>0</v>
      </c>
      <c r="F354" s="28">
        <f>[1]ALNS!AE7</f>
        <v>27.536000000000001</v>
      </c>
      <c r="G354" s="28">
        <f>'[1]PFB tests'!F353</f>
        <v>70318.980054999905</v>
      </c>
      <c r="H354" s="28">
        <f>'[1]PFB tests'!G353</f>
        <v>24.197576666992902</v>
      </c>
      <c r="I354" s="30">
        <f t="shared" si="90"/>
        <v>-7.8214885137816632E-10</v>
      </c>
      <c r="J354" s="30">
        <f t="shared" ref="J354:J360" si="92">(F354-H354)/(H354)</f>
        <v>0.13796519291788961</v>
      </c>
      <c r="K354" s="28">
        <f>'[1]Gurobi tests'!F298</f>
        <v>70318.980110000004</v>
      </c>
      <c r="L354" s="28">
        <f>'[1]Gurobi tests'!G298</f>
        <v>2485.94</v>
      </c>
      <c r="M354" s="29">
        <f>'[1]Gurobi tests'!H298/100</f>
        <v>0</v>
      </c>
      <c r="N354" s="29">
        <f t="shared" si="91"/>
        <v>-1.5643003917723159E-9</v>
      </c>
      <c r="O354" s="29">
        <f t="shared" ref="O354:O357" si="93">(F354-L354)/L354</f>
        <v>-0.98892330466543843</v>
      </c>
      <c r="P354" s="14"/>
      <c r="Q354" s="20"/>
      <c r="R354" s="20"/>
      <c r="S354" s="2"/>
      <c r="T354" s="2"/>
      <c r="U354" s="2"/>
    </row>
    <row r="355" spans="1:21" x14ac:dyDescent="0.2">
      <c r="A355" s="19" t="s">
        <v>51</v>
      </c>
      <c r="B355" s="14">
        <v>2400</v>
      </c>
      <c r="C355" s="28">
        <f>[1]ALNS!Z8</f>
        <v>98933.75</v>
      </c>
      <c r="D355" s="28">
        <f>[1]ALNS!AA8</f>
        <v>98933.75</v>
      </c>
      <c r="E355" s="29">
        <f>[1]ALNS!AD8</f>
        <v>0</v>
      </c>
      <c r="F355" s="28">
        <f>[1]ALNS!AE8</f>
        <v>34.853999999999999</v>
      </c>
      <c r="G355" s="28">
        <f>'[1]PFB tests'!F354</f>
        <v>98933.748055000004</v>
      </c>
      <c r="H355" s="28">
        <f>'[1]PFB tests'!G354</f>
        <v>29.628538249991799</v>
      </c>
      <c r="I355" s="30">
        <f t="shared" si="90"/>
        <v>1.965962105528058E-8</v>
      </c>
      <c r="J355" s="30">
        <f t="shared" si="92"/>
        <v>0.17636583033284292</v>
      </c>
      <c r="K355" s="28">
        <f>'[1]Gurobi tests'!F299</f>
        <v>99160.883999999904</v>
      </c>
      <c r="L355" s="28">
        <f>'[1]Gurobi tests'!G299</f>
        <v>3649.09</v>
      </c>
      <c r="M355" s="29">
        <f>'[1]Gurobi tests'!H299/100</f>
        <v>0.20077901685507299</v>
      </c>
      <c r="N355" s="29">
        <f t="shared" si="91"/>
        <v>-2.2905604593027209E-3</v>
      </c>
      <c r="O355" s="29">
        <f t="shared" si="93"/>
        <v>-0.99044857759057747</v>
      </c>
      <c r="P355" s="14"/>
      <c r="Q355" s="20"/>
      <c r="R355" s="20"/>
      <c r="S355" s="2"/>
      <c r="T355" s="2"/>
      <c r="U355" s="2"/>
    </row>
    <row r="356" spans="1:21" x14ac:dyDescent="0.2">
      <c r="A356" s="19" t="s">
        <v>52</v>
      </c>
      <c r="B356" s="14">
        <v>2400</v>
      </c>
      <c r="C356" s="28">
        <f>[1]ALNS!Z9</f>
        <v>108756.86000000002</v>
      </c>
      <c r="D356" s="28">
        <f>[1]ALNS!AA9</f>
        <v>108756.86</v>
      </c>
      <c r="E356" s="29">
        <f>[1]ALNS!AD9</f>
        <v>1.4959549058993913E-16</v>
      </c>
      <c r="F356" s="28">
        <f>[1]ALNS!AE9</f>
        <v>37.869999999999997</v>
      </c>
      <c r="G356" s="28">
        <f>'[1]PFB tests'!F355</f>
        <v>108756.86410999999</v>
      </c>
      <c r="H356" s="28">
        <f>'[1]PFB tests'!G355</f>
        <v>40.206577709002801</v>
      </c>
      <c r="I356" s="30">
        <f t="shared" si="90"/>
        <v>-3.7790717978859712E-8</v>
      </c>
      <c r="J356" s="30">
        <f t="shared" si="92"/>
        <v>-5.811431467542217E-2</v>
      </c>
      <c r="K356" s="28">
        <f>'[1]Gurobi tests'!F300</f>
        <v>110868.135073023</v>
      </c>
      <c r="L356" s="28">
        <f>'[1]Gurobi tests'!G300</f>
        <v>3688.9</v>
      </c>
      <c r="M356" s="29">
        <f>'[1]Gurobi tests'!H300/100</f>
        <v>0.158338367991391</v>
      </c>
      <c r="N356" s="29">
        <f t="shared" si="91"/>
        <v>-1.9043118851348979E-2</v>
      </c>
      <c r="O356" s="29">
        <f t="shared" si="93"/>
        <v>-0.98973406706606304</v>
      </c>
      <c r="P356" s="14"/>
      <c r="Q356" s="20"/>
      <c r="R356" s="20"/>
      <c r="S356" s="2"/>
      <c r="T356" s="2"/>
      <c r="U356" s="2"/>
    </row>
    <row r="357" spans="1:21" x14ac:dyDescent="0.2">
      <c r="A357" s="19" t="s">
        <v>53</v>
      </c>
      <c r="B357" s="14">
        <v>2400</v>
      </c>
      <c r="C357" s="28">
        <f>[1]ALNS!Z10</f>
        <v>130620.78400000001</v>
      </c>
      <c r="D357" s="28">
        <f>[1]ALNS!AA10</f>
        <v>129148.88</v>
      </c>
      <c r="E357" s="29">
        <f>[1]ALNS!AD10</f>
        <v>1.543006783824858E-2</v>
      </c>
      <c r="F357" s="28">
        <f>[1]ALNS!AE10</f>
        <v>53.432000000000002</v>
      </c>
      <c r="G357" s="28">
        <f>'[1]PFB tests'!F356</f>
        <v>129115.764054999</v>
      </c>
      <c r="H357" s="28">
        <f>'[1]PFB tests'!G356</f>
        <v>84.346949709011795</v>
      </c>
      <c r="I357" s="30">
        <f t="shared" si="90"/>
        <v>1.1656360910042891E-2</v>
      </c>
      <c r="J357" s="30">
        <f t="shared" si="92"/>
        <v>-0.36652125317708767</v>
      </c>
      <c r="K357" s="28">
        <f>'[1]Gurobi tests'!F301</f>
        <v>137502.372</v>
      </c>
      <c r="L357" s="28">
        <f>'[1]Gurobi tests'!G301</f>
        <v>3748.3</v>
      </c>
      <c r="M357" s="29">
        <f>'[1]Gurobi tests'!H301/100</f>
        <v>0.299974580906337</v>
      </c>
      <c r="N357" s="29">
        <f t="shared" si="91"/>
        <v>-5.0047049370173693E-2</v>
      </c>
      <c r="O357" s="29">
        <f t="shared" si="93"/>
        <v>-0.98574500440199564</v>
      </c>
      <c r="P357" s="14"/>
      <c r="Q357" s="20"/>
      <c r="R357" s="20"/>
      <c r="S357" s="2"/>
      <c r="T357" s="2"/>
      <c r="U357" s="2"/>
    </row>
    <row r="358" spans="1:21" x14ac:dyDescent="0.2">
      <c r="A358" s="19" t="s">
        <v>54</v>
      </c>
      <c r="B358" s="14">
        <v>2400</v>
      </c>
      <c r="C358" s="28">
        <f>[1]ALNS!Z11</f>
        <v>140401.96</v>
      </c>
      <c r="D358" s="28">
        <f>[1]ALNS!AA11</f>
        <v>140401.96</v>
      </c>
      <c r="E358" s="29">
        <f>[1]ALNS!AD11</f>
        <v>0</v>
      </c>
      <c r="F358" s="28">
        <f>[1]ALNS!AE11</f>
        <v>54.077999999999996</v>
      </c>
      <c r="G358" s="28">
        <f>'[1]PFB tests'!F357</f>
        <v>140463.56416499999</v>
      </c>
      <c r="H358" s="28">
        <f>'[1]PFB tests'!G357</f>
        <v>199.71434120800399</v>
      </c>
      <c r="I358" s="30">
        <f t="shared" si="90"/>
        <v>-4.3857754405001229E-4</v>
      </c>
      <c r="J358" s="30">
        <f t="shared" si="92"/>
        <v>-0.72922325120519327</v>
      </c>
      <c r="K358" s="28">
        <f>'[1]Gurobi tests'!F302</f>
        <v>144548.484</v>
      </c>
      <c r="L358" s="28">
        <f>'[1]Gurobi tests'!G302</f>
        <v>3787.61</v>
      </c>
      <c r="M358" s="29">
        <f>'[1]Gurobi tests'!H302/100</f>
        <v>0.24132174531384301</v>
      </c>
      <c r="N358" s="29">
        <f t="shared" si="91"/>
        <v>-2.8686042808999678E-2</v>
      </c>
      <c r="O358" s="29">
        <f>(F358-L358)/L358</f>
        <v>-0.98572239486113933</v>
      </c>
      <c r="P358" s="14"/>
      <c r="Q358" s="20"/>
      <c r="R358" s="20"/>
      <c r="S358" s="2"/>
      <c r="T358" s="2"/>
      <c r="U358" s="2"/>
    </row>
    <row r="359" spans="1:21" x14ac:dyDescent="0.2">
      <c r="A359" s="19" t="s">
        <v>55</v>
      </c>
      <c r="B359" s="14">
        <v>2400</v>
      </c>
      <c r="C359" s="28">
        <f>[1]ALNS!Z12</f>
        <v>169573.33</v>
      </c>
      <c r="D359" s="28">
        <f>[1]ALNS!AA12</f>
        <v>169573.33</v>
      </c>
      <c r="E359" s="29">
        <f>[1]ALNS!AD12</f>
        <v>0</v>
      </c>
      <c r="F359" s="28">
        <f>[1]ALNS!AE12</f>
        <v>77.089999999999989</v>
      </c>
      <c r="G359" s="28">
        <f>'[1]PFB tests'!F358</f>
        <v>169613.55616499999</v>
      </c>
      <c r="H359" s="28">
        <f>'[1]PFB tests'!G358</f>
        <v>1089.17730733299</v>
      </c>
      <c r="I359" s="30">
        <f t="shared" si="90"/>
        <v>-2.3716362011104845E-4</v>
      </c>
      <c r="J359" s="30">
        <f t="shared" si="92"/>
        <v>-0.9292218085329319</v>
      </c>
      <c r="K359" s="28">
        <f>'[1]Gurobi tests'!F303</f>
        <v>176004.02307403099</v>
      </c>
      <c r="L359" s="28">
        <f>'[1]Gurobi tests'!G303</f>
        <v>3883.25</v>
      </c>
      <c r="M359" s="29">
        <f>'[1]Gurobi tests'!H303/100</f>
        <v>0.27886718930212001</v>
      </c>
      <c r="N359" s="29">
        <f t="shared" si="91"/>
        <v>-3.6537193648841317E-2</v>
      </c>
      <c r="O359" s="29">
        <f>(F359-L359)/L359</f>
        <v>-0.98014807184703534</v>
      </c>
      <c r="P359" s="14"/>
      <c r="Q359" s="20"/>
      <c r="R359" s="20"/>
      <c r="S359" s="2"/>
      <c r="T359" s="2"/>
      <c r="U359" s="2"/>
    </row>
    <row r="360" spans="1:21" x14ac:dyDescent="0.2">
      <c r="A360" s="19" t="s">
        <v>234</v>
      </c>
      <c r="B360" s="14">
        <v>2400</v>
      </c>
      <c r="C360" s="28">
        <f>[1]ALNS!Z13</f>
        <v>194291.63799999998</v>
      </c>
      <c r="D360" s="28">
        <f>[1]ALNS!AA13</f>
        <v>193498.88</v>
      </c>
      <c r="E360" s="29">
        <f>[1]ALNS!AD13</f>
        <v>8.478509202511357E-3</v>
      </c>
      <c r="F360" s="28">
        <f>[1]ALNS!AE13</f>
        <v>69.224000000000004</v>
      </c>
      <c r="G360" s="28">
        <f>'[1]PFB tests'!F359</f>
        <v>193340.78416499999</v>
      </c>
      <c r="H360" s="28">
        <f>'[1]PFB tests'!G359</f>
        <v>1348.3713286670099</v>
      </c>
      <c r="I360" s="30">
        <f t="shared" si="90"/>
        <v>4.9180199568680449E-3</v>
      </c>
      <c r="J360" s="30">
        <f t="shared" si="92"/>
        <v>-0.94866102643369443</v>
      </c>
      <c r="K360" s="28">
        <f>'[1]Gurobi tests'!F304</f>
        <v>209985.31477100399</v>
      </c>
      <c r="L360" s="32">
        <f>'[1]Gurobi tests'!G304</f>
        <v>4032.14</v>
      </c>
      <c r="M360" s="29">
        <f>'[1]Gurobi tests'!H304/100</f>
        <v>0.31497537393242203</v>
      </c>
      <c r="N360" s="29">
        <f>(C360-K360)/K360</f>
        <v>-7.4737020482210842E-2</v>
      </c>
      <c r="O360" s="29">
        <f>(F360-L360)/L360</f>
        <v>-0.98283194531935891</v>
      </c>
      <c r="P360" s="14"/>
      <c r="Q360" s="20"/>
      <c r="R360" s="20"/>
      <c r="S360" s="2"/>
      <c r="T360" s="2"/>
      <c r="U360" s="2"/>
    </row>
    <row r="361" spans="1:21" ht="17" x14ac:dyDescent="0.2">
      <c r="A361" s="19" t="s">
        <v>57</v>
      </c>
      <c r="B361" s="14">
        <v>2400</v>
      </c>
      <c r="C361" s="28">
        <f>[1]ALNS!Z14</f>
        <v>207887.75</v>
      </c>
      <c r="D361" s="28">
        <f>[1]ALNS!AA14</f>
        <v>207887.75</v>
      </c>
      <c r="E361" s="29">
        <f>[1]ALNS!AD14</f>
        <v>0</v>
      </c>
      <c r="F361" s="28">
        <f>[1]ALNS!AE14</f>
        <v>117.65</v>
      </c>
      <c r="G361" s="58" t="s">
        <v>15</v>
      </c>
      <c r="H361" s="58" t="s">
        <v>32</v>
      </c>
      <c r="I361" s="59" t="s">
        <v>32</v>
      </c>
      <c r="J361" s="59" t="s">
        <v>32</v>
      </c>
      <c r="K361" s="28">
        <f>'[1]Gurobi tests'!F305</f>
        <v>230663.399397473</v>
      </c>
      <c r="L361" s="32">
        <f>'[1]Gurobi tests'!G305</f>
        <v>4127.28</v>
      </c>
      <c r="M361" s="29">
        <f>'[1]Gurobi tests'!H305/100</f>
        <v>0.33829292336015898</v>
      </c>
      <c r="N361" s="29">
        <f>(C361-K361)/K361</f>
        <v>-9.8739763035515696E-2</v>
      </c>
      <c r="O361" s="29">
        <f>(F361-L361)/L361</f>
        <v>-0.97149454362194954</v>
      </c>
      <c r="P361" s="14"/>
      <c r="Q361" s="20"/>
      <c r="R361" s="20"/>
      <c r="S361" s="2"/>
      <c r="T361" s="2"/>
      <c r="U361" s="2"/>
    </row>
    <row r="362" spans="1:21" ht="17" x14ac:dyDescent="0.2">
      <c r="A362" s="19" t="s">
        <v>58</v>
      </c>
      <c r="B362" s="14">
        <v>2400</v>
      </c>
      <c r="C362" s="28">
        <f>[1]ALNS!Z15</f>
        <v>226406.21799999996</v>
      </c>
      <c r="D362" s="28">
        <f>[1]ALNS!AA15</f>
        <v>226246.06</v>
      </c>
      <c r="E362" s="29">
        <f>[1]ALNS!AD15</f>
        <v>6.8140930860930923E-4</v>
      </c>
      <c r="F362" s="28">
        <f>[1]ALNS!AE15</f>
        <v>150.24600000000001</v>
      </c>
      <c r="G362" s="58" t="s">
        <v>15</v>
      </c>
      <c r="H362" s="58" t="s">
        <v>32</v>
      </c>
      <c r="I362" s="59" t="s">
        <v>32</v>
      </c>
      <c r="J362" s="59" t="s">
        <v>32</v>
      </c>
      <c r="K362" s="28" t="str">
        <f>'[1]Gurobi tests'!F306</f>
        <v>Infeasible</v>
      </c>
      <c r="L362" s="32">
        <f>'[1]Gurobi tests'!G306</f>
        <v>4356.84</v>
      </c>
      <c r="M362" s="29" t="s">
        <v>32</v>
      </c>
      <c r="N362" s="29" t="s">
        <v>32</v>
      </c>
      <c r="O362" s="29">
        <f>(F362-L362)/L362</f>
        <v>-0.96551491447930149</v>
      </c>
      <c r="P362" s="14"/>
      <c r="Q362" s="20"/>
      <c r="R362" s="20"/>
      <c r="S362" s="2"/>
      <c r="T362" s="2"/>
      <c r="U362" s="2"/>
    </row>
    <row r="363" spans="1:21" x14ac:dyDescent="0.2">
      <c r="A363" s="14"/>
      <c r="B363" s="14"/>
      <c r="C363" s="28"/>
      <c r="D363" s="28"/>
      <c r="E363" s="29"/>
      <c r="F363" s="28"/>
      <c r="G363" s="32"/>
      <c r="H363" s="32"/>
      <c r="I363" s="32"/>
      <c r="J363" s="32"/>
      <c r="K363" s="32"/>
      <c r="L363" s="32"/>
      <c r="M363" s="32"/>
      <c r="N363" s="32"/>
      <c r="O363" s="32"/>
      <c r="P363" s="14"/>
      <c r="Q363" s="20"/>
      <c r="R363" s="20"/>
      <c r="S363" s="2"/>
      <c r="T363" s="2"/>
      <c r="U363" s="2"/>
    </row>
    <row r="364" spans="1:21" x14ac:dyDescent="0.2">
      <c r="A364" s="19" t="s">
        <v>59</v>
      </c>
      <c r="B364" s="14">
        <v>2400</v>
      </c>
      <c r="C364" s="28">
        <f>[1]ALNS!Z17</f>
        <v>55370.469999999994</v>
      </c>
      <c r="D364" s="28">
        <f>[1]ALNS!AA17</f>
        <v>55370.47</v>
      </c>
      <c r="E364" s="29">
        <f>[1]ALNS!AD17</f>
        <v>1.469152765609659E-16</v>
      </c>
      <c r="F364" s="28">
        <f>[1]ALNS!AE17</f>
        <v>17.738</v>
      </c>
      <c r="G364" s="28">
        <f>'[1]PFB tests'!F363</f>
        <v>55370.467499999999</v>
      </c>
      <c r="H364" s="28">
        <f>'[1]PFB tests'!G363</f>
        <v>20.238690291007501</v>
      </c>
      <c r="I364" s="30">
        <f t="shared" ref="I364:I371" si="94">(C364-G364)/G364</f>
        <v>4.5150422380890116E-8</v>
      </c>
      <c r="J364" s="30">
        <f>(F364-H364)/H364</f>
        <v>-0.12355988727781528</v>
      </c>
      <c r="K364" s="28">
        <f>'[1]Gurobi tests'!F308</f>
        <v>55370.467499999802</v>
      </c>
      <c r="L364" s="32">
        <f>'[1]Gurobi tests'!G308</f>
        <v>445.78</v>
      </c>
      <c r="M364" s="29">
        <f>'[1]Gurobi tests'!H308/100</f>
        <v>0</v>
      </c>
      <c r="N364" s="29">
        <f>(C364-K364)/K364</f>
        <v>4.5150425928825927E-8</v>
      </c>
      <c r="O364" s="29">
        <f t="shared" ref="O364:O370" si="95">(F364-L364)/L364</f>
        <v>-0.96020907173942305</v>
      </c>
      <c r="P364" s="14"/>
      <c r="Q364" s="20"/>
      <c r="R364" s="20"/>
      <c r="S364" s="2"/>
      <c r="T364" s="2"/>
      <c r="U364" s="2"/>
    </row>
    <row r="365" spans="1:21" x14ac:dyDescent="0.2">
      <c r="A365" s="19" t="s">
        <v>60</v>
      </c>
      <c r="B365" s="14">
        <v>2400</v>
      </c>
      <c r="C365" s="28">
        <f>[1]ALNS!Z18</f>
        <v>86433.75</v>
      </c>
      <c r="D365" s="28">
        <f>[1]ALNS!AA18</f>
        <v>86433.75</v>
      </c>
      <c r="E365" s="29">
        <f>[1]ALNS!AD18</f>
        <v>0</v>
      </c>
      <c r="F365" s="28">
        <f>[1]ALNS!AE18</f>
        <v>28.192</v>
      </c>
      <c r="G365" s="28">
        <f>'[1]PFB tests'!F364</f>
        <v>86433.7462499994</v>
      </c>
      <c r="H365" s="28">
        <f>'[1]PFB tests'!G364</f>
        <v>24.6120517500094</v>
      </c>
      <c r="I365" s="30">
        <f t="shared" si="94"/>
        <v>4.3385839013324153E-8</v>
      </c>
      <c r="J365" s="30">
        <f t="shared" ref="J365:J371" si="96">(F365-H365)/H365</f>
        <v>0.14545509193435013</v>
      </c>
      <c r="K365" s="28">
        <f>'[1]Gurobi tests'!F309</f>
        <v>86433.743450001406</v>
      </c>
      <c r="L365" s="32">
        <f>'[1]Gurobi tests'!G309</f>
        <v>3628.77</v>
      </c>
      <c r="M365" s="29">
        <f>'[1]Gurobi tests'!H309/100</f>
        <v>0.19555262624675099</v>
      </c>
      <c r="N365" s="29">
        <f>(C365-K365)/K365</f>
        <v>7.5780572870492773E-8</v>
      </c>
      <c r="O365" s="29">
        <f t="shared" si="95"/>
        <v>-0.99223097633633439</v>
      </c>
      <c r="P365" s="14"/>
      <c r="Q365" s="20"/>
      <c r="R365" s="20"/>
      <c r="S365" s="2"/>
      <c r="T365" s="2"/>
      <c r="U365" s="2"/>
    </row>
    <row r="366" spans="1:21" x14ac:dyDescent="0.2">
      <c r="A366" s="19" t="s">
        <v>61</v>
      </c>
      <c r="B366" s="14">
        <v>2400</v>
      </c>
      <c r="C366" s="28">
        <f>[1]ALNS!Z19</f>
        <v>123112.67</v>
      </c>
      <c r="D366" s="28">
        <f>[1]ALNS!AA19</f>
        <v>123112.67</v>
      </c>
      <c r="E366" s="29">
        <f>[1]ALNS!AD19</f>
        <v>0</v>
      </c>
      <c r="F366" s="28">
        <f>[1]ALNS!AE19</f>
        <v>42.994000000000007</v>
      </c>
      <c r="G366" s="28">
        <f>'[1]PFB tests'!F365</f>
        <v>123129.297749986</v>
      </c>
      <c r="H366" s="28">
        <f>'[1]PFB tests'!G365</f>
        <v>29.874563582998199</v>
      </c>
      <c r="I366" s="30">
        <f t="shared" si="94"/>
        <v>-1.3504300186754375E-4</v>
      </c>
      <c r="J366" s="30">
        <f t="shared" si="96"/>
        <v>0.4391507303714442</v>
      </c>
      <c r="K366" s="28">
        <f>'[1]Gurobi tests'!F310</f>
        <v>126240.50049999901</v>
      </c>
      <c r="L366" s="32">
        <f>'[1]Gurobi tests'!G310</f>
        <v>3644.13</v>
      </c>
      <c r="M366" s="29">
        <f>'[1]Gurobi tests'!H310/100</f>
        <v>0.243026492610948</v>
      </c>
      <c r="N366" s="29">
        <f>(C366-K366)/K366</f>
        <v>-2.4776759341183313E-2</v>
      </c>
      <c r="O366" s="29">
        <f t="shared" si="95"/>
        <v>-0.98820184790334042</v>
      </c>
      <c r="P366" s="14"/>
      <c r="Q366" s="20"/>
      <c r="R366" s="20"/>
      <c r="S366" s="2"/>
      <c r="T366" s="2"/>
      <c r="U366" s="2"/>
    </row>
    <row r="367" spans="1:21" x14ac:dyDescent="0.2">
      <c r="A367" s="19" t="s">
        <v>62</v>
      </c>
      <c r="B367" s="14">
        <v>2400</v>
      </c>
      <c r="C367" s="28">
        <f>[1]ALNS!Z20</f>
        <v>135955.74</v>
      </c>
      <c r="D367" s="28">
        <f>[1]ALNS!AA20</f>
        <v>135955.74</v>
      </c>
      <c r="E367" s="29">
        <f>[1]ALNS!AD20</f>
        <v>0</v>
      </c>
      <c r="F367" s="28">
        <f>[1]ALNS!AE20</f>
        <v>49.89</v>
      </c>
      <c r="G367" s="28">
        <f>'[1]PFB tests'!F366</f>
        <v>137336.394499986</v>
      </c>
      <c r="H367" s="28">
        <f>'[1]PFB tests'!G366</f>
        <v>60.724989875001398</v>
      </c>
      <c r="I367" s="30">
        <f t="shared" si="94"/>
        <v>-1.0053085382157358E-2</v>
      </c>
      <c r="J367" s="30">
        <f t="shared" si="96"/>
        <v>-0.17842719936725471</v>
      </c>
      <c r="K367" s="28">
        <f>'[1]Gurobi tests'!F311</f>
        <v>148029.14149999799</v>
      </c>
      <c r="L367" s="32">
        <f>'[1]Gurobi tests'!G311</f>
        <v>3689.93</v>
      </c>
      <c r="M367" s="29">
        <f>'[1]Gurobi tests'!H311/100</f>
        <v>0.34329834460257702</v>
      </c>
      <c r="N367" s="29">
        <f>(C367-K367)/K367</f>
        <v>-8.1560977640326063E-2</v>
      </c>
      <c r="O367" s="29">
        <f t="shared" si="95"/>
        <v>-0.98647941830874841</v>
      </c>
      <c r="P367" s="14"/>
      <c r="Q367" s="20"/>
      <c r="R367" s="20"/>
      <c r="S367" s="2"/>
      <c r="T367" s="2"/>
      <c r="U367" s="2"/>
    </row>
    <row r="368" spans="1:21" x14ac:dyDescent="0.2">
      <c r="A368" s="19" t="s">
        <v>63</v>
      </c>
      <c r="B368" s="14">
        <v>2400</v>
      </c>
      <c r="C368" s="28">
        <f>[1]ALNS!Z21</f>
        <v>163180.75200000001</v>
      </c>
      <c r="D368" s="28">
        <f>[1]ALNS!AA21</f>
        <v>162576.29999999999</v>
      </c>
      <c r="E368" s="29">
        <f>[1]ALNS!AD21</f>
        <v>8.0970638888777074E-3</v>
      </c>
      <c r="F368" s="28">
        <f>[1]ALNS!AE21</f>
        <v>77.612000000000009</v>
      </c>
      <c r="G368" s="28">
        <f>'[1]PFB tests'!F367</f>
        <v>163221.58249999999</v>
      </c>
      <c r="H368" s="28">
        <f>'[1]PFB tests'!G367</f>
        <v>163.63294895899801</v>
      </c>
      <c r="I368" s="30">
        <f t="shared" si="94"/>
        <v>-2.5015380548697869E-4</v>
      </c>
      <c r="J368" s="30">
        <f t="shared" si="96"/>
        <v>-0.52569454688830752</v>
      </c>
      <c r="K368" s="28">
        <f>'[1]Gurobi tests'!F312</f>
        <v>175986.54217509099</v>
      </c>
      <c r="L368" s="32">
        <f>'[1]Gurobi tests'!G312</f>
        <v>3746.31</v>
      </c>
      <c r="M368" s="29">
        <f>'[1]Gurobi tests'!H312/100</f>
        <v>0.34753517548161594</v>
      </c>
      <c r="N368" s="29">
        <f>(C368-K368)/K368</f>
        <v>-7.2765735475104426E-2</v>
      </c>
      <c r="O368" s="29">
        <f t="shared" si="95"/>
        <v>-0.97928308121858576</v>
      </c>
      <c r="P368" s="14"/>
      <c r="Q368" s="20"/>
      <c r="R368" s="20"/>
      <c r="S368" s="2"/>
      <c r="T368" s="2"/>
      <c r="U368" s="2"/>
    </row>
    <row r="369" spans="1:21" ht="17" x14ac:dyDescent="0.2">
      <c r="A369" s="19" t="s">
        <v>64</v>
      </c>
      <c r="B369" s="14">
        <v>2400</v>
      </c>
      <c r="C369" s="28">
        <f>[1]ALNS!Z22</f>
        <v>176626.28</v>
      </c>
      <c r="D369" s="28">
        <f>[1]ALNS!AA22</f>
        <v>176626.28</v>
      </c>
      <c r="E369" s="29">
        <f>[1]ALNS!AD22</f>
        <v>0</v>
      </c>
      <c r="F369" s="28">
        <f>[1]ALNS!AE22</f>
        <v>76.516000000000005</v>
      </c>
      <c r="G369" s="28">
        <f>'[1]PFB tests'!F368</f>
        <v>179967.67049999101</v>
      </c>
      <c r="H369" s="28">
        <f>'[1]PFB tests'!G368</f>
        <v>389.12090279199703</v>
      </c>
      <c r="I369" s="30">
        <f t="shared" si="94"/>
        <v>-1.8566615274331632E-2</v>
      </c>
      <c r="J369" s="30">
        <f t="shared" si="96"/>
        <v>-0.80336188713845236</v>
      </c>
      <c r="K369" s="28" t="str">
        <f>'[1]Gurobi tests'!F313</f>
        <v>Infeasible</v>
      </c>
      <c r="L369" s="32">
        <f>'[1]Gurobi tests'!G313</f>
        <v>3785.18</v>
      </c>
      <c r="M369" s="29" t="s">
        <v>32</v>
      </c>
      <c r="N369" s="29" t="s">
        <v>32</v>
      </c>
      <c r="O369" s="29">
        <f t="shared" si="95"/>
        <v>-0.97978537348289907</v>
      </c>
      <c r="P369" s="14"/>
      <c r="Q369" s="20"/>
      <c r="R369" s="20"/>
      <c r="S369" s="4"/>
      <c r="T369" s="4"/>
      <c r="U369" s="2"/>
    </row>
    <row r="370" spans="1:21" x14ac:dyDescent="0.2">
      <c r="A370" s="19" t="s">
        <v>65</v>
      </c>
      <c r="B370" s="14">
        <v>2400</v>
      </c>
      <c r="C370" s="28">
        <f>[1]ALNS!Z23</f>
        <v>213725.15</v>
      </c>
      <c r="D370" s="28">
        <f>[1]ALNS!AA23</f>
        <v>213725.15</v>
      </c>
      <c r="E370" s="29">
        <f>[1]ALNS!AD23</f>
        <v>0</v>
      </c>
      <c r="F370" s="28">
        <f>[1]ALNS!AE23</f>
        <v>172.01000000000002</v>
      </c>
      <c r="G370" s="28">
        <f>'[1]PFB tests'!F369</f>
        <v>215229.25649999999</v>
      </c>
      <c r="H370" s="28">
        <f>'[1]PFB tests'!G369</f>
        <v>1266.4958434579801</v>
      </c>
      <c r="I370" s="30">
        <f t="shared" si="94"/>
        <v>-6.9883923982239585E-3</v>
      </c>
      <c r="J370" s="30">
        <f t="shared" si="96"/>
        <v>-0.86418431541760765</v>
      </c>
      <c r="K370" s="28">
        <f>'[1]Gurobi tests'!F314</f>
        <v>258857.76524999901</v>
      </c>
      <c r="L370" s="32">
        <f>'[1]Gurobi tests'!G314</f>
        <v>3882.43</v>
      </c>
      <c r="M370" s="29">
        <f>'[1]Gurobi tests'!H314/100</f>
        <v>0.40346500515982003</v>
      </c>
      <c r="N370" s="29">
        <f>(C370-K370)/K370</f>
        <v>-0.17435295095903711</v>
      </c>
      <c r="O370" s="29">
        <f t="shared" si="95"/>
        <v>-0.95569527332109006</v>
      </c>
      <c r="P370" s="14"/>
      <c r="Q370" s="20"/>
      <c r="R370" s="20"/>
      <c r="S370" s="4"/>
      <c r="T370" s="4"/>
      <c r="U370" s="2"/>
    </row>
    <row r="371" spans="1:21" ht="17" x14ac:dyDescent="0.2">
      <c r="A371" s="19" t="s">
        <v>235</v>
      </c>
      <c r="B371" s="14">
        <v>2400</v>
      </c>
      <c r="C371" s="28">
        <f>[1]ALNS!Z24</f>
        <v>245288.03199999998</v>
      </c>
      <c r="D371" s="28">
        <f>[1]ALNS!AA24</f>
        <v>243544.98</v>
      </c>
      <c r="E371" s="29">
        <f>[1]ALNS!AD24</f>
        <v>9.6151920290326754E-3</v>
      </c>
      <c r="F371" s="28">
        <f>[1]ALNS!AE24</f>
        <v>119.70399999999999</v>
      </c>
      <c r="G371" s="28">
        <f>'[1]PFB tests'!F370</f>
        <v>246202.25049999999</v>
      </c>
      <c r="H371" s="28">
        <f>'[1]PFB tests'!G370</f>
        <v>2459.38092787499</v>
      </c>
      <c r="I371" s="30">
        <f t="shared" si="94"/>
        <v>-3.7132824665224466E-3</v>
      </c>
      <c r="J371" s="30">
        <f t="shared" si="96"/>
        <v>-0.95132758872639156</v>
      </c>
      <c r="K371" s="28" t="str">
        <f>'[1]Gurobi tests'!F315</f>
        <v>Infeasible</v>
      </c>
      <c r="L371" s="32">
        <f>'[1]Gurobi tests'!G315</f>
        <v>4029.61</v>
      </c>
      <c r="M371" s="29" t="s">
        <v>32</v>
      </c>
      <c r="N371" s="32" t="s">
        <v>32</v>
      </c>
      <c r="O371" s="32" t="s">
        <v>32</v>
      </c>
      <c r="P371" s="14"/>
      <c r="Q371" s="20"/>
      <c r="R371" s="20"/>
      <c r="S371" s="4"/>
      <c r="T371" s="4"/>
      <c r="U371" s="2"/>
    </row>
    <row r="372" spans="1:21" ht="17" x14ac:dyDescent="0.2">
      <c r="A372" s="19" t="s">
        <v>67</v>
      </c>
      <c r="B372" s="14">
        <v>2400</v>
      </c>
      <c r="C372" s="28">
        <f>[1]ALNS!Z25</f>
        <v>260945.83</v>
      </c>
      <c r="D372" s="28">
        <f>[1]ALNS!AA25</f>
        <v>260945.83</v>
      </c>
      <c r="E372" s="29">
        <f>[1]ALNS!AD25</f>
        <v>0</v>
      </c>
      <c r="F372" s="28">
        <f>[1]ALNS!AE25</f>
        <v>200.084</v>
      </c>
      <c r="G372" s="58" t="s">
        <v>15</v>
      </c>
      <c r="H372" s="58" t="s">
        <v>32</v>
      </c>
      <c r="I372" s="59" t="s">
        <v>32</v>
      </c>
      <c r="J372" s="59" t="s">
        <v>32</v>
      </c>
      <c r="K372" s="58" t="s">
        <v>15</v>
      </c>
      <c r="L372" s="58" t="s">
        <v>32</v>
      </c>
      <c r="M372" s="59" t="s">
        <v>32</v>
      </c>
      <c r="N372" s="59" t="s">
        <v>32</v>
      </c>
      <c r="O372" s="32" t="s">
        <v>32</v>
      </c>
      <c r="P372" s="14"/>
      <c r="Q372" s="20"/>
      <c r="R372" s="20"/>
      <c r="S372" s="4"/>
      <c r="T372" s="4"/>
      <c r="U372" s="2"/>
    </row>
    <row r="373" spans="1:21" ht="17" x14ac:dyDescent="0.2">
      <c r="A373" s="19" t="s">
        <v>68</v>
      </c>
      <c r="B373" s="14">
        <v>2400</v>
      </c>
      <c r="C373" s="28">
        <f>[1]ALNS!Z26</f>
        <v>283048.21000000002</v>
      </c>
      <c r="D373" s="28">
        <f>[1]ALNS!AA26</f>
        <v>282575.43</v>
      </c>
      <c r="E373" s="29">
        <f>[1]ALNS!AD26</f>
        <v>1.5067684753166471E-3</v>
      </c>
      <c r="F373" s="28">
        <f>[1]ALNS!AE26</f>
        <v>166.874</v>
      </c>
      <c r="G373" s="58" t="s">
        <v>15</v>
      </c>
      <c r="H373" s="58" t="s">
        <v>32</v>
      </c>
      <c r="I373" s="59" t="s">
        <v>32</v>
      </c>
      <c r="J373" s="59" t="s">
        <v>32</v>
      </c>
      <c r="K373" s="58" t="s">
        <v>15</v>
      </c>
      <c r="L373" s="58" t="s">
        <v>32</v>
      </c>
      <c r="M373" s="59" t="s">
        <v>32</v>
      </c>
      <c r="N373" s="59" t="s">
        <v>32</v>
      </c>
      <c r="O373" s="32" t="s">
        <v>32</v>
      </c>
      <c r="P373" s="14"/>
      <c r="Q373" s="20"/>
      <c r="R373" s="20"/>
      <c r="S373" s="4"/>
      <c r="T373" s="4"/>
      <c r="U373" s="2"/>
    </row>
    <row r="374" spans="1:21" x14ac:dyDescent="0.2">
      <c r="A374" s="14"/>
      <c r="B374" s="14"/>
      <c r="C374" s="28"/>
      <c r="D374" s="28"/>
      <c r="E374" s="29"/>
      <c r="F374" s="28"/>
      <c r="G374" s="32"/>
      <c r="H374" s="32"/>
      <c r="I374" s="32"/>
      <c r="J374" s="32"/>
      <c r="K374" s="28"/>
      <c r="L374" s="32"/>
      <c r="M374" s="32"/>
      <c r="N374" s="32"/>
      <c r="O374" s="32"/>
      <c r="P374" s="14"/>
      <c r="Q374" s="20"/>
      <c r="R374" s="20"/>
      <c r="S374" s="4"/>
      <c r="T374" s="4"/>
      <c r="U374" s="2"/>
    </row>
    <row r="375" spans="1:21" x14ac:dyDescent="0.2">
      <c r="A375" s="19" t="s">
        <v>69</v>
      </c>
      <c r="B375" s="14">
        <v>2400</v>
      </c>
      <c r="C375" s="28">
        <f>[1]ALNS!Z28</f>
        <v>59499.79</v>
      </c>
      <c r="D375" s="28">
        <f>[1]ALNS!AA28</f>
        <v>59499.79</v>
      </c>
      <c r="E375" s="29">
        <f>[1]ALNS!AD28</f>
        <v>0</v>
      </c>
      <c r="F375" s="28">
        <f>[1]ALNS!AE28</f>
        <v>17.78</v>
      </c>
      <c r="G375" s="28">
        <f>'[1]PFB tests'!F374</f>
        <v>59499.790499999901</v>
      </c>
      <c r="H375" s="28">
        <f>'[1]PFB tests'!G374</f>
        <v>19.9567582910094</v>
      </c>
      <c r="I375" s="30">
        <f t="shared" ref="I375:I382" si="97">(C375-G375)/G375</f>
        <v>-8.4033892532352209E-9</v>
      </c>
      <c r="J375" s="30">
        <f>(F375-H375)/H375</f>
        <v>-0.10907374129945932</v>
      </c>
      <c r="K375" s="28">
        <f>'[1]Gurobi tests'!F319</f>
        <v>59499.790499983603</v>
      </c>
      <c r="L375" s="32">
        <f>'[1]Gurobi tests'!G319</f>
        <v>306.04000000000002</v>
      </c>
      <c r="M375" s="29">
        <f>'[1]Gurobi tests'!H319/100</f>
        <v>0</v>
      </c>
      <c r="N375" s="29">
        <f>(C375-K375)/K375</f>
        <v>-8.4031153338687509E-9</v>
      </c>
      <c r="O375" s="29">
        <f>(F375-L375)/L375</f>
        <v>-0.94190301921317465</v>
      </c>
      <c r="P375" s="14"/>
      <c r="Q375" s="20"/>
      <c r="R375" s="20"/>
      <c r="S375" s="4"/>
      <c r="T375" s="4"/>
      <c r="U375" s="2"/>
    </row>
    <row r="376" spans="1:21" x14ac:dyDescent="0.2">
      <c r="A376" s="19" t="s">
        <v>70</v>
      </c>
      <c r="B376" s="14">
        <v>2400</v>
      </c>
      <c r="C376" s="28">
        <f>[1]ALNS!Z29</f>
        <v>98041.93</v>
      </c>
      <c r="D376" s="28">
        <f>[1]ALNS!AA29</f>
        <v>98041.93</v>
      </c>
      <c r="E376" s="29">
        <f>[1]ALNS!AD29</f>
        <v>0</v>
      </c>
      <c r="F376" s="28">
        <f>[1]ALNS!AE29</f>
        <v>31.771999999999998</v>
      </c>
      <c r="G376" s="28">
        <f>'[1]PFB tests'!F375</f>
        <v>98314.348299999794</v>
      </c>
      <c r="H376" s="28">
        <f>'[1]PFB tests'!G375</f>
        <v>24.077675207998201</v>
      </c>
      <c r="I376" s="30">
        <f t="shared" si="97"/>
        <v>-2.7708905638934257E-3</v>
      </c>
      <c r="J376" s="30">
        <f t="shared" ref="J376:J382" si="98">(F376-H376)/H376</f>
        <v>0.31956261248369489</v>
      </c>
      <c r="K376" s="28">
        <f>'[1]Gurobi tests'!F320</f>
        <v>98041.934349997202</v>
      </c>
      <c r="L376" s="32">
        <f>'[1]Gurobi tests'!G320</f>
        <v>3628.76</v>
      </c>
      <c r="M376" s="29">
        <f>'[1]Gurobi tests'!H320/100</f>
        <v>0.24233989431358002</v>
      </c>
      <c r="N376" s="29">
        <f>(C376-K376)/K376</f>
        <v>-4.4368741169369841E-8</v>
      </c>
      <c r="O376" s="29">
        <f>(F376-L376)/L376</f>
        <v>-0.99124439202372161</v>
      </c>
      <c r="P376" s="14"/>
      <c r="Q376" s="20"/>
      <c r="R376" s="20"/>
      <c r="S376" s="4"/>
      <c r="T376" s="4"/>
      <c r="U376" s="2"/>
    </row>
    <row r="377" spans="1:21" x14ac:dyDescent="0.2">
      <c r="A377" s="19" t="s">
        <v>71</v>
      </c>
      <c r="B377" s="14">
        <v>2400</v>
      </c>
      <c r="C377" s="28">
        <f>[1]ALNS!Z30</f>
        <v>142569.78</v>
      </c>
      <c r="D377" s="28">
        <f>[1]ALNS!AA30</f>
        <v>142569.78</v>
      </c>
      <c r="E377" s="29">
        <f>[1]ALNS!AD30</f>
        <v>0</v>
      </c>
      <c r="F377" s="28">
        <f>[1]ALNS!AE30</f>
        <v>64.8</v>
      </c>
      <c r="G377" s="28">
        <f>'[1]PFB tests'!F376</f>
        <v>146710.15184999901</v>
      </c>
      <c r="H377" s="28">
        <f>'[1]PFB tests'!G376</f>
        <v>31.715048875004801</v>
      </c>
      <c r="I377" s="30">
        <f t="shared" si="97"/>
        <v>-2.8221440696430133E-2</v>
      </c>
      <c r="J377" s="30">
        <f t="shared" si="98"/>
        <v>1.043194076584572</v>
      </c>
      <c r="K377" s="28">
        <f>'[1]Gurobi tests'!F321</f>
        <v>154779.87819999401</v>
      </c>
      <c r="L377" s="32">
        <f>'[1]Gurobi tests'!G321</f>
        <v>3642.83</v>
      </c>
      <c r="M377" s="29">
        <f>'[1]Gurobi tests'!H321/100</f>
        <v>0.336796829355751</v>
      </c>
      <c r="N377" s="29">
        <f>(C377-K377)/K377</f>
        <v>-7.888685752948528E-2</v>
      </c>
      <c r="O377" s="29">
        <f t="shared" ref="O377:O379" si="99">(F377-L377)/L377</f>
        <v>-0.98221163216510232</v>
      </c>
      <c r="P377" s="14"/>
      <c r="Q377" s="20"/>
      <c r="R377" s="20"/>
      <c r="S377" s="4"/>
      <c r="T377" s="4"/>
      <c r="U377" s="2"/>
    </row>
    <row r="378" spans="1:21" x14ac:dyDescent="0.2">
      <c r="A378" s="19" t="s">
        <v>202</v>
      </c>
      <c r="B378" s="14">
        <v>2400</v>
      </c>
      <c r="C378" s="28">
        <f>[1]ALNS!Z31</f>
        <v>165521.86600000001</v>
      </c>
      <c r="D378" s="28">
        <f>[1]ALNS!AA31</f>
        <v>164711.65</v>
      </c>
      <c r="E378" s="29">
        <f>[1]ALNS!AD31</f>
        <v>1.0945369915404268E-2</v>
      </c>
      <c r="F378" s="28">
        <f>[1]ALNS!AE31</f>
        <v>119.304</v>
      </c>
      <c r="G378" s="28">
        <f>'[1]PFB tests'!F377</f>
        <v>169110.05339999899</v>
      </c>
      <c r="H378" s="28">
        <f>'[1]PFB tests'!G377</f>
        <v>59.7696593750006</v>
      </c>
      <c r="I378" s="30">
        <f t="shared" si="97"/>
        <v>-2.1218060829960084E-2</v>
      </c>
      <c r="J378" s="30">
        <f t="shared" si="98"/>
        <v>0.99606290628954763</v>
      </c>
      <c r="K378" s="28">
        <f>'[1]Gurobi tests'!F322</f>
        <v>180190.074566152</v>
      </c>
      <c r="L378" s="32">
        <f>'[1]Gurobi tests'!G322</f>
        <v>3688.79</v>
      </c>
      <c r="M378" s="29">
        <f>'[1]Gurobi tests'!H322/100</f>
        <v>0.42067302885139296</v>
      </c>
      <c r="N378" s="29">
        <f>(C378-K378)/K378</f>
        <v>-8.1404087330942038E-2</v>
      </c>
      <c r="O378" s="29">
        <f t="shared" si="99"/>
        <v>-0.96765768720908485</v>
      </c>
      <c r="P378" s="14"/>
      <c r="Q378" s="20"/>
      <c r="R378" s="20"/>
      <c r="S378" s="4"/>
      <c r="T378" s="4"/>
      <c r="U378" s="2"/>
    </row>
    <row r="379" spans="1:21" ht="17" x14ac:dyDescent="0.2">
      <c r="A379" s="19" t="s">
        <v>73</v>
      </c>
      <c r="B379" s="14">
        <v>2400</v>
      </c>
      <c r="C379" s="28">
        <f>[1]ALNS!Z32</f>
        <v>194273.66199999995</v>
      </c>
      <c r="D379" s="28">
        <f>[1]ALNS!AA32</f>
        <v>193779.56</v>
      </c>
      <c r="E379" s="29">
        <f>[1]ALNS!AD32</f>
        <v>3.5884847623880852E-3</v>
      </c>
      <c r="F379" s="28">
        <f>[1]ALNS!AE32</f>
        <v>232.20999999999998</v>
      </c>
      <c r="G379" s="28">
        <f>'[1]PFB tests'!F378</f>
        <v>201834.45474999899</v>
      </c>
      <c r="H379" s="28">
        <f>'[1]PFB tests'!G378</f>
        <v>172.32039374999201</v>
      </c>
      <c r="I379" s="30">
        <f t="shared" si="97"/>
        <v>-3.7460367009013215E-2</v>
      </c>
      <c r="J379" s="30">
        <f t="shared" si="98"/>
        <v>0.34754798864316516</v>
      </c>
      <c r="K379" s="28" t="str">
        <f>'[1]Gurobi tests'!F323</f>
        <v>Infeasible</v>
      </c>
      <c r="L379" s="32">
        <f>'[1]Gurobi tests'!G323</f>
        <v>3747.75</v>
      </c>
      <c r="M379" s="29" t="s">
        <v>32</v>
      </c>
      <c r="N379" s="29" t="s">
        <v>32</v>
      </c>
      <c r="O379" s="29">
        <f t="shared" si="99"/>
        <v>-0.93804015742779001</v>
      </c>
      <c r="P379" s="14"/>
      <c r="Q379" s="20"/>
      <c r="R379" s="20"/>
      <c r="S379" s="4"/>
      <c r="T379" s="4"/>
      <c r="U379" s="2"/>
    </row>
    <row r="380" spans="1:21" ht="17" x14ac:dyDescent="0.2">
      <c r="A380" s="19" t="s">
        <v>203</v>
      </c>
      <c r="B380" s="14">
        <v>2400</v>
      </c>
      <c r="C380" s="28">
        <f>[1]ALNS!Z33</f>
        <v>214236.31200000001</v>
      </c>
      <c r="D380" s="28">
        <f>[1]ALNS!AA33</f>
        <v>212767.24</v>
      </c>
      <c r="E380" s="29">
        <f>[1]ALNS!AD33</f>
        <v>5.5540472531171621E-3</v>
      </c>
      <c r="F380" s="28">
        <f>[1]ALNS!AE33</f>
        <v>305.78399999999999</v>
      </c>
      <c r="G380" s="28">
        <f>'[1]PFB tests'!F379</f>
        <v>218648.91139999899</v>
      </c>
      <c r="H380" s="28">
        <f>'[1]PFB tests'!G379</f>
        <v>351.38930283300499</v>
      </c>
      <c r="I380" s="30">
        <f t="shared" si="97"/>
        <v>-2.018120909793383E-2</v>
      </c>
      <c r="J380" s="30">
        <f t="shared" si="98"/>
        <v>-0.1297856891639031</v>
      </c>
      <c r="K380" s="58" t="s">
        <v>15</v>
      </c>
      <c r="L380" s="58" t="s">
        <v>32</v>
      </c>
      <c r="M380" s="59" t="s">
        <v>32</v>
      </c>
      <c r="N380" s="59" t="s">
        <v>32</v>
      </c>
      <c r="O380" s="29" t="s">
        <v>32</v>
      </c>
      <c r="P380" s="14"/>
      <c r="Q380" s="20"/>
      <c r="R380" s="20"/>
      <c r="S380" s="4"/>
      <c r="T380" s="4"/>
      <c r="U380" s="2"/>
    </row>
    <row r="381" spans="1:21" ht="17" x14ac:dyDescent="0.2">
      <c r="A381" s="19" t="s">
        <v>75</v>
      </c>
      <c r="B381" s="14">
        <v>2400</v>
      </c>
      <c r="C381" s="28">
        <f>[1]ALNS!Z34</f>
        <v>252059.39199999999</v>
      </c>
      <c r="D381" s="28">
        <f>[1]ALNS!AA34</f>
        <v>251238.64</v>
      </c>
      <c r="E381" s="29">
        <f>[1]ALNS!AD34</f>
        <v>3.9866601096386562E-3</v>
      </c>
      <c r="F381" s="28">
        <f>[1]ALNS!AE34</f>
        <v>449.55600000000004</v>
      </c>
      <c r="G381" s="28">
        <f>'[1]PFB tests'!F380</f>
        <v>256236.647499999</v>
      </c>
      <c r="H381" s="28">
        <f>'[1]PFB tests'!G380</f>
        <v>990.27257224998903</v>
      </c>
      <c r="I381" s="30">
        <f t="shared" si="97"/>
        <v>-1.6302334348949933E-2</v>
      </c>
      <c r="J381" s="30">
        <f t="shared" si="98"/>
        <v>-0.54602802036759635</v>
      </c>
      <c r="K381" s="58" t="s">
        <v>15</v>
      </c>
      <c r="L381" s="58" t="s">
        <v>32</v>
      </c>
      <c r="M381" s="59" t="s">
        <v>32</v>
      </c>
      <c r="N381" s="59" t="s">
        <v>32</v>
      </c>
      <c r="O381" s="32" t="s">
        <v>32</v>
      </c>
      <c r="P381" s="14"/>
      <c r="Q381" s="20"/>
      <c r="R381" s="20"/>
      <c r="S381" s="4"/>
      <c r="T381" s="4"/>
      <c r="U381" s="2"/>
    </row>
    <row r="382" spans="1:21" ht="17" x14ac:dyDescent="0.2">
      <c r="A382" s="19" t="s">
        <v>236</v>
      </c>
      <c r="B382" s="14">
        <v>2400</v>
      </c>
      <c r="C382" s="28">
        <f>[1]ALNS!Z35</f>
        <v>289175.29399999999</v>
      </c>
      <c r="D382" s="28">
        <f>[1]ALNS!AA35</f>
        <v>286954.40999999997</v>
      </c>
      <c r="E382" s="29">
        <f>[1]ALNS!AD35</f>
        <v>6.1542347689123303E-3</v>
      </c>
      <c r="F382" s="28">
        <f>[1]ALNS!AE35</f>
        <v>288.822</v>
      </c>
      <c r="G382" s="28">
        <f>'[1]PFB tests'!F381</f>
        <v>297924.12874999898</v>
      </c>
      <c r="H382" s="28">
        <f>'[1]PFB tests'!G381</f>
        <v>2384.3124603329902</v>
      </c>
      <c r="I382" s="30">
        <f t="shared" si="97"/>
        <v>-2.9365982495968012E-2</v>
      </c>
      <c r="J382" s="30">
        <f t="shared" si="98"/>
        <v>-0.87886570875041115</v>
      </c>
      <c r="K382" s="58" t="s">
        <v>15</v>
      </c>
      <c r="L382" s="58" t="s">
        <v>32</v>
      </c>
      <c r="M382" s="59" t="s">
        <v>32</v>
      </c>
      <c r="N382" s="59" t="s">
        <v>32</v>
      </c>
      <c r="O382" s="32" t="s">
        <v>32</v>
      </c>
      <c r="P382" s="14"/>
      <c r="Q382" s="20"/>
      <c r="R382" s="20"/>
      <c r="S382" s="4"/>
      <c r="T382" s="4"/>
      <c r="U382" s="2"/>
    </row>
    <row r="383" spans="1:21" ht="17" x14ac:dyDescent="0.2">
      <c r="A383" s="19" t="s">
        <v>204</v>
      </c>
      <c r="B383" s="14">
        <v>2400</v>
      </c>
      <c r="C383" s="28">
        <f>[1]ALNS!Z36</f>
        <v>305986.49399999995</v>
      </c>
      <c r="D383" s="28">
        <f>[1]ALNS!AA36</f>
        <v>301992.02</v>
      </c>
      <c r="E383" s="29">
        <f>[1]ALNS!AD36</f>
        <v>8.9600172464094612E-3</v>
      </c>
      <c r="F383" s="28">
        <f>[1]ALNS!AE36</f>
        <v>499.35200000000003</v>
      </c>
      <c r="G383" s="58" t="s">
        <v>15</v>
      </c>
      <c r="H383" s="58" t="s">
        <v>32</v>
      </c>
      <c r="I383" s="59" t="s">
        <v>32</v>
      </c>
      <c r="J383" s="59" t="s">
        <v>32</v>
      </c>
      <c r="K383" s="58" t="s">
        <v>15</v>
      </c>
      <c r="L383" s="58" t="s">
        <v>32</v>
      </c>
      <c r="M383" s="59" t="s">
        <v>32</v>
      </c>
      <c r="N383" s="59" t="s">
        <v>32</v>
      </c>
      <c r="O383" s="32" t="s">
        <v>32</v>
      </c>
      <c r="P383" s="14"/>
      <c r="Q383" s="20"/>
      <c r="R383" s="20"/>
      <c r="S383" s="4"/>
      <c r="T383" s="4"/>
      <c r="U383" s="2"/>
    </row>
    <row r="384" spans="1:21" ht="17" x14ac:dyDescent="0.2">
      <c r="A384" s="19" t="s">
        <v>78</v>
      </c>
      <c r="B384" s="14">
        <v>2400</v>
      </c>
      <c r="C384" s="28">
        <f>[1]ALNS!Z37</f>
        <v>328455.12</v>
      </c>
      <c r="D384" s="28">
        <f>[1]ALNS!AA37</f>
        <v>326825.68</v>
      </c>
      <c r="E384" s="29">
        <f>[1]ALNS!AD37</f>
        <v>4.3881906914033332E-3</v>
      </c>
      <c r="F384" s="28">
        <f>[1]ALNS!AE37</f>
        <v>386.73999999999995</v>
      </c>
      <c r="G384" s="58" t="s">
        <v>15</v>
      </c>
      <c r="H384" s="58" t="s">
        <v>32</v>
      </c>
      <c r="I384" s="59" t="s">
        <v>32</v>
      </c>
      <c r="J384" s="59" t="s">
        <v>32</v>
      </c>
      <c r="K384" s="58" t="s">
        <v>15</v>
      </c>
      <c r="L384" s="58" t="s">
        <v>32</v>
      </c>
      <c r="M384" s="59" t="s">
        <v>32</v>
      </c>
      <c r="N384" s="59" t="s">
        <v>32</v>
      </c>
      <c r="O384" s="32" t="s">
        <v>32</v>
      </c>
      <c r="P384" s="14"/>
      <c r="Q384" s="20"/>
      <c r="R384" s="20"/>
      <c r="S384" s="4"/>
      <c r="T384" s="4"/>
      <c r="U384" s="2"/>
    </row>
    <row r="385" spans="1:21" x14ac:dyDescent="0.2">
      <c r="A385" s="14"/>
      <c r="B385" s="14"/>
      <c r="C385" s="32"/>
      <c r="D385" s="32"/>
      <c r="E385" s="32"/>
      <c r="F385" s="32"/>
      <c r="G385" s="32"/>
      <c r="H385" s="32"/>
      <c r="I385" s="30"/>
      <c r="J385" s="30"/>
      <c r="K385" s="32"/>
      <c r="L385" s="32"/>
      <c r="M385" s="31"/>
      <c r="N385" s="30"/>
      <c r="O385" s="30"/>
      <c r="P385" s="30"/>
      <c r="Q385" s="20"/>
      <c r="R385" s="20"/>
      <c r="S385" s="21"/>
      <c r="T385" s="21"/>
      <c r="U385" s="21"/>
    </row>
    <row r="386" spans="1:21" x14ac:dyDescent="0.2">
      <c r="A386" s="19" t="s">
        <v>79</v>
      </c>
      <c r="B386" s="14">
        <v>2400</v>
      </c>
      <c r="C386" s="28">
        <f>[1]ALNS!Z39</f>
        <v>38622.160000000003</v>
      </c>
      <c r="D386" s="28">
        <f>[1]ALNS!AA39</f>
        <v>38622.160000000003</v>
      </c>
      <c r="E386" s="29">
        <f>[1]ALNS!AD39</f>
        <v>0</v>
      </c>
      <c r="F386" s="28">
        <f>[1]ALNS!AE39</f>
        <v>14.791999999999998</v>
      </c>
      <c r="G386" s="28">
        <f>'[1]PFB tests'!F385</f>
        <v>38622.156000000003</v>
      </c>
      <c r="H386" s="28">
        <f>'[1]PFB tests'!G385</f>
        <v>14.916541624988801</v>
      </c>
      <c r="I386" s="30">
        <f t="shared" ref="I386:I392" si="100">(C386-G386)/G386</f>
        <v>1.0356749635662253E-7</v>
      </c>
      <c r="J386" s="30">
        <f>(F386-H386)/H386</f>
        <v>-8.3492292060624498E-3</v>
      </c>
      <c r="K386" s="28">
        <f>'[1]Gurobi tests'!F330</f>
        <v>38622.156000000003</v>
      </c>
      <c r="L386" s="32">
        <f>'[1]Gurobi tests'!G330</f>
        <v>24.89</v>
      </c>
      <c r="M386" s="29">
        <f>'[1]Gurobi tests'!H330/100</f>
        <v>0</v>
      </c>
      <c r="N386" s="29">
        <f t="shared" ref="N386:N392" si="101">(C386-K386)/K386</f>
        <v>1.0356749635662253E-7</v>
      </c>
      <c r="O386" s="29">
        <f t="shared" ref="O386:O392" si="102">(F386-L386)/L386</f>
        <v>-0.40570510245078356</v>
      </c>
      <c r="P386" s="14"/>
      <c r="Q386" s="20"/>
      <c r="R386" s="20"/>
      <c r="S386" s="4"/>
      <c r="T386" s="4"/>
      <c r="U386" s="2"/>
    </row>
    <row r="387" spans="1:21" x14ac:dyDescent="0.2">
      <c r="A387" s="19" t="s">
        <v>80</v>
      </c>
      <c r="B387" s="14">
        <v>2400</v>
      </c>
      <c r="C387" s="28">
        <f>[1]ALNS!Z40</f>
        <v>70962.429999999993</v>
      </c>
      <c r="D387" s="28">
        <f>[1]ALNS!AA40</f>
        <v>70962.429999999993</v>
      </c>
      <c r="E387" s="29">
        <f>[1]ALNS!AD40</f>
        <v>0</v>
      </c>
      <c r="F387" s="28">
        <f>[1]ALNS!AE40</f>
        <v>21.481999999999999</v>
      </c>
      <c r="G387" s="28">
        <f>'[1]PFB tests'!F386</f>
        <v>70962.432054999896</v>
      </c>
      <c r="H387" s="28">
        <f>'[1]PFB tests'!G386</f>
        <v>24.530928541993401</v>
      </c>
      <c r="I387" s="30">
        <f t="shared" si="100"/>
        <v>-2.8958983550885873E-8</v>
      </c>
      <c r="J387" s="30">
        <f t="shared" ref="J387:J392" si="103">(F387-H387)/H387</f>
        <v>-0.12428916160976446</v>
      </c>
      <c r="K387" s="28">
        <f>'[1]Gurobi tests'!F331</f>
        <v>70962.428459949195</v>
      </c>
      <c r="L387" s="32">
        <f>'[1]Gurobi tests'!G331</f>
        <v>397.67</v>
      </c>
      <c r="M387" s="29">
        <f>'[1]Gurobi tests'!H331/100</f>
        <v>0</v>
      </c>
      <c r="N387" s="29">
        <f t="shared" si="101"/>
        <v>2.1702340684146318E-8</v>
      </c>
      <c r="O387" s="29">
        <f t="shared" si="102"/>
        <v>-0.94598033545401961</v>
      </c>
      <c r="P387" s="14"/>
      <c r="Q387" s="20"/>
      <c r="R387" s="20"/>
      <c r="S387" s="4"/>
      <c r="T387" s="4"/>
      <c r="U387" s="2"/>
    </row>
    <row r="388" spans="1:21" x14ac:dyDescent="0.2">
      <c r="A388" s="19" t="s">
        <v>81</v>
      </c>
      <c r="B388" s="14">
        <v>2400</v>
      </c>
      <c r="C388" s="28">
        <f>[1]ALNS!Z41</f>
        <v>88320.24</v>
      </c>
      <c r="D388" s="28">
        <f>[1]ALNS!AA41</f>
        <v>88320.24</v>
      </c>
      <c r="E388" s="29">
        <f>[1]ALNS!AD41</f>
        <v>0</v>
      </c>
      <c r="F388" s="28">
        <f>[1]ALNS!AE41</f>
        <v>28.564</v>
      </c>
      <c r="G388" s="28">
        <f>'[1]PFB tests'!F387</f>
        <v>88285.872109999997</v>
      </c>
      <c r="H388" s="28">
        <f>'[1]PFB tests'!G387</f>
        <v>29.1393937910033</v>
      </c>
      <c r="I388" s="30">
        <f t="shared" si="100"/>
        <v>3.8927961154631708E-4</v>
      </c>
      <c r="J388" s="30">
        <f t="shared" si="103"/>
        <v>-1.9746251247716461E-2</v>
      </c>
      <c r="K388" s="28">
        <f>'[1]Gurobi tests'!F332</f>
        <v>88285.871297012505</v>
      </c>
      <c r="L388" s="32">
        <f>'[1]Gurobi tests'!G332</f>
        <v>436.96</v>
      </c>
      <c r="M388" s="29">
        <f>'[1]Gurobi tests'!H332/100</f>
        <v>0</v>
      </c>
      <c r="N388" s="29">
        <f t="shared" si="101"/>
        <v>3.8928882371083311E-4</v>
      </c>
      <c r="O388" s="29">
        <f t="shared" si="102"/>
        <v>-0.93463017209813248</v>
      </c>
      <c r="P388" s="14"/>
      <c r="Q388" s="20"/>
      <c r="R388" s="20"/>
      <c r="S388" s="4"/>
      <c r="T388" s="4"/>
      <c r="U388" s="2"/>
    </row>
    <row r="389" spans="1:21" x14ac:dyDescent="0.2">
      <c r="A389" s="19" t="s">
        <v>82</v>
      </c>
      <c r="B389" s="14">
        <v>2400</v>
      </c>
      <c r="C389" s="28">
        <f>[1]ALNS!Z42</f>
        <v>111788.54</v>
      </c>
      <c r="D389" s="28">
        <f>[1]ALNS!AA42</f>
        <v>111788.54</v>
      </c>
      <c r="E389" s="29">
        <f>[1]ALNS!AD42</f>
        <v>0</v>
      </c>
      <c r="F389" s="28">
        <f>[1]ALNS!AE42</f>
        <v>37.508000000000003</v>
      </c>
      <c r="G389" s="28">
        <f>'[1]PFB tests'!F388</f>
        <v>111762.780109999</v>
      </c>
      <c r="H389" s="28">
        <f>'[1]PFB tests'!G388</f>
        <v>52.777675582998199</v>
      </c>
      <c r="I389" s="30">
        <f t="shared" si="100"/>
        <v>2.3048719775615233E-4</v>
      </c>
      <c r="J389" s="30">
        <f t="shared" si="103"/>
        <v>-0.28932072915915169</v>
      </c>
      <c r="K389" s="28">
        <f>'[1]Gurobi tests'!F333</f>
        <v>112743.755400482</v>
      </c>
      <c r="L389" s="32">
        <f>'[1]Gurobi tests'!G333</f>
        <v>3691.9</v>
      </c>
      <c r="M389" s="29">
        <f>'[1]Gurobi tests'!H333/100</f>
        <v>0.137453033283678</v>
      </c>
      <c r="N389" s="29">
        <f t="shared" si="101"/>
        <v>-8.4724461863891435E-3</v>
      </c>
      <c r="O389" s="29">
        <f t="shared" si="102"/>
        <v>-0.98984046155096295</v>
      </c>
      <c r="P389" s="14"/>
      <c r="Q389" s="20"/>
      <c r="R389" s="20"/>
      <c r="S389" s="4"/>
      <c r="T389" s="4"/>
      <c r="U389" s="2"/>
    </row>
    <row r="390" spans="1:21" x14ac:dyDescent="0.2">
      <c r="A390" s="19" t="s">
        <v>83</v>
      </c>
      <c r="B390" s="14">
        <v>2400</v>
      </c>
      <c r="C390" s="28">
        <f>[1]ALNS!Z43</f>
        <v>132215.35999999999</v>
      </c>
      <c r="D390" s="28">
        <f>[1]ALNS!AA43</f>
        <v>132215.35999999999</v>
      </c>
      <c r="E390" s="29">
        <f>[1]ALNS!AD43</f>
        <v>0</v>
      </c>
      <c r="F390" s="28">
        <f>[1]ALNS!AE43</f>
        <v>47.760000000000005</v>
      </c>
      <c r="G390" s="28">
        <f>'[1]PFB tests'!F389</f>
        <v>132165.52805499901</v>
      </c>
      <c r="H390" s="28">
        <f>'[1]PFB tests'!G389</f>
        <v>157.327331082982</v>
      </c>
      <c r="I390" s="30">
        <f t="shared" si="100"/>
        <v>3.770419241259047E-4</v>
      </c>
      <c r="J390" s="30">
        <f t="shared" si="103"/>
        <v>-0.69642909676762343</v>
      </c>
      <c r="K390" s="28">
        <f>'[1]Gurobi tests'!F334</f>
        <v>132881.57999999999</v>
      </c>
      <c r="L390" s="32">
        <f>'[1]Gurobi tests'!G334</f>
        <v>3747.08</v>
      </c>
      <c r="M390" s="29">
        <f>'[1]Gurobi tests'!H334/100</f>
        <v>0.22884334655353603</v>
      </c>
      <c r="N390" s="29">
        <f t="shared" si="101"/>
        <v>-5.0136369540458598E-3</v>
      </c>
      <c r="O390" s="29">
        <f t="shared" si="102"/>
        <v>-0.98725407517320152</v>
      </c>
      <c r="P390" s="14"/>
      <c r="Q390" s="20"/>
      <c r="R390" s="20"/>
      <c r="S390" s="4"/>
      <c r="T390" s="4"/>
      <c r="U390" s="2"/>
    </row>
    <row r="391" spans="1:21" x14ac:dyDescent="0.2">
      <c r="A391" s="19" t="s">
        <v>84</v>
      </c>
      <c r="B391" s="14">
        <v>2400</v>
      </c>
      <c r="C391" s="28">
        <f>[1]ALNS!Z44</f>
        <v>144711.01</v>
      </c>
      <c r="D391" s="28">
        <f>[1]ALNS!AA44</f>
        <v>144711.01</v>
      </c>
      <c r="E391" s="29">
        <f>[1]ALNS!AD44</f>
        <v>0</v>
      </c>
      <c r="F391" s="28">
        <f>[1]ALNS!AE44</f>
        <v>69.45</v>
      </c>
      <c r="G391" s="28">
        <f>'[1]PFB tests'!F390</f>
        <v>144676.32010999901</v>
      </c>
      <c r="H391" s="28">
        <f>'[1]PFB tests'!G390</f>
        <v>565.29553279202003</v>
      </c>
      <c r="I391" s="30">
        <f t="shared" si="100"/>
        <v>2.3977586639349941E-4</v>
      </c>
      <c r="J391" s="30">
        <f t="shared" si="103"/>
        <v>-0.87714390797149355</v>
      </c>
      <c r="K391" s="28">
        <f>'[1]Gurobi tests'!F335</f>
        <v>145085.37449876501</v>
      </c>
      <c r="L391" s="32">
        <f>'[1]Gurobi tests'!G335</f>
        <v>3784.59</v>
      </c>
      <c r="M391" s="29">
        <f>'[1]Gurobi tests'!H335/100</f>
        <v>0.20967949869438499</v>
      </c>
      <c r="N391" s="29">
        <f t="shared" si="101"/>
        <v>-2.5803048726196088E-3</v>
      </c>
      <c r="O391" s="29">
        <f t="shared" si="102"/>
        <v>-0.98164926715971879</v>
      </c>
      <c r="P391" s="14"/>
      <c r="Q391" s="20"/>
      <c r="R391" s="20"/>
      <c r="S391" s="4"/>
      <c r="T391" s="4"/>
      <c r="U391" s="2"/>
    </row>
    <row r="392" spans="1:21" x14ac:dyDescent="0.2">
      <c r="A392" s="19" t="s">
        <v>85</v>
      </c>
      <c r="B392" s="14">
        <v>2400</v>
      </c>
      <c r="C392" s="28">
        <f>[1]ALNS!Z45</f>
        <v>170393.94</v>
      </c>
      <c r="D392" s="28">
        <f>[1]ALNS!AA45</f>
        <v>170393.94</v>
      </c>
      <c r="E392" s="29">
        <f>[1]ALNS!AD45</f>
        <v>0</v>
      </c>
      <c r="F392" s="28">
        <f>[1]ALNS!AE45</f>
        <v>84.021999999999991</v>
      </c>
      <c r="G392" s="28">
        <f>'[1]PFB tests'!F391</f>
        <v>170338.36822</v>
      </c>
      <c r="H392" s="28">
        <f>'[1]PFB tests'!G391</f>
        <v>1743.9649051250001</v>
      </c>
      <c r="I392" s="30">
        <f t="shared" si="100"/>
        <v>3.2624346810828216E-4</v>
      </c>
      <c r="J392" s="30">
        <f t="shared" si="103"/>
        <v>-0.95182127819597517</v>
      </c>
      <c r="K392" s="28">
        <f>'[1]Gurobi tests'!F336</f>
        <v>177078.73149455999</v>
      </c>
      <c r="L392" s="32">
        <f>'[1]Gurobi tests'!G336</f>
        <v>3899.01</v>
      </c>
      <c r="M392" s="29">
        <f>'[1]Gurobi tests'!H336/100</f>
        <v>0.264921925636322</v>
      </c>
      <c r="N392" s="29">
        <f t="shared" si="101"/>
        <v>-3.7750391806739107E-2</v>
      </c>
      <c r="O392" s="29">
        <f t="shared" si="102"/>
        <v>-0.97845042715971497</v>
      </c>
      <c r="P392" s="14"/>
      <c r="Q392" s="20"/>
      <c r="R392" s="20"/>
      <c r="S392" s="4"/>
      <c r="T392" s="4"/>
      <c r="U392" s="2"/>
    </row>
    <row r="393" spans="1:21" x14ac:dyDescent="0.2">
      <c r="A393" s="19" t="s">
        <v>86</v>
      </c>
      <c r="B393" s="14">
        <v>2400</v>
      </c>
      <c r="C393" s="28">
        <f>[1]ALNS!Z46</f>
        <v>190508.25399999999</v>
      </c>
      <c r="D393" s="28">
        <f>[1]ALNS!AA46</f>
        <v>189689.77</v>
      </c>
      <c r="E393" s="29">
        <f>[1]ALNS!AD46</f>
        <v>4.2998208030766072E-3</v>
      </c>
      <c r="F393" s="28">
        <f>[1]ALNS!AE46</f>
        <v>79.16</v>
      </c>
      <c r="G393" s="28">
        <f>'[1]PFB tests'!F392</f>
        <v>189584.32805499999</v>
      </c>
      <c r="H393" s="28">
        <f>'[1]PFB tests'!G392</f>
        <v>15077.1495339999</v>
      </c>
      <c r="I393" s="32"/>
      <c r="J393" s="30"/>
      <c r="K393" s="28">
        <f>'[1]Gurobi tests'!F337</f>
        <v>215419.836054999</v>
      </c>
      <c r="L393" s="32">
        <f>'[1]Gurobi tests'!G337</f>
        <v>4028.38</v>
      </c>
      <c r="M393" s="29">
        <f>'[1]Gurobi tests'!H337/100</f>
        <v>0.32961279810774302</v>
      </c>
      <c r="N393" s="29">
        <f>(C393-K393)/K393</f>
        <v>-0.11564200637790302</v>
      </c>
      <c r="O393" s="29">
        <f>(F393-L393)/L393</f>
        <v>-0.98034942085900534</v>
      </c>
      <c r="P393" s="14"/>
      <c r="Q393" s="20"/>
      <c r="R393" s="20"/>
      <c r="S393" s="4"/>
      <c r="T393" s="4"/>
      <c r="U393" s="2"/>
    </row>
    <row r="394" spans="1:21" ht="17" x14ac:dyDescent="0.2">
      <c r="A394" s="19" t="s">
        <v>87</v>
      </c>
      <c r="B394" s="14">
        <v>2400</v>
      </c>
      <c r="C394" s="28">
        <f>[1]ALNS!Z47</f>
        <v>206574.99799999996</v>
      </c>
      <c r="D394" s="28">
        <f>[1]ALNS!AA47</f>
        <v>206325.59</v>
      </c>
      <c r="E394" s="29">
        <f>[1]ALNS!AD47</f>
        <v>2.6997131672840255E-3</v>
      </c>
      <c r="F394" s="28">
        <f>[1]ALNS!AE47</f>
        <v>110.35599999999999</v>
      </c>
      <c r="G394" s="58" t="s">
        <v>15</v>
      </c>
      <c r="H394" s="58" t="s">
        <v>32</v>
      </c>
      <c r="I394" s="59" t="s">
        <v>32</v>
      </c>
      <c r="J394" s="59" t="s">
        <v>32</v>
      </c>
      <c r="K394" s="28">
        <f>'[1]Gurobi tests'!F338</f>
        <v>226230.25160998301</v>
      </c>
      <c r="L394" s="28">
        <f>'[1]Gurobi tests'!G338</f>
        <v>4123.8</v>
      </c>
      <c r="M394" s="29">
        <f>'[1]Gurobi tests'!H338/100</f>
        <v>0.30234143837919797</v>
      </c>
      <c r="N394" s="29">
        <f>(C394-K394)/K394</f>
        <v>-8.6881632629169148E-2</v>
      </c>
      <c r="O394" s="29">
        <f>(F394-L394)/L394</f>
        <v>-0.97323924535622486</v>
      </c>
      <c r="P394" s="14"/>
      <c r="Q394" s="20"/>
      <c r="R394" s="20"/>
      <c r="S394" s="4"/>
      <c r="T394" s="4"/>
      <c r="U394" s="2"/>
    </row>
    <row r="395" spans="1:21" ht="17" x14ac:dyDescent="0.2">
      <c r="A395" s="19" t="s">
        <v>88</v>
      </c>
      <c r="B395" s="14">
        <v>2400</v>
      </c>
      <c r="C395" s="28">
        <f>[1]ALNS!Z48</f>
        <v>229109.63999999998</v>
      </c>
      <c r="D395" s="28">
        <f>[1]ALNS!AA48</f>
        <v>229078.88</v>
      </c>
      <c r="E395" s="29">
        <f>[1]ALNS!AD48</f>
        <v>7.5052986626689201E-5</v>
      </c>
      <c r="F395" s="28">
        <f>[1]ALNS!AE48</f>
        <v>101.306</v>
      </c>
      <c r="G395" s="58" t="s">
        <v>15</v>
      </c>
      <c r="H395" s="58" t="s">
        <v>32</v>
      </c>
      <c r="I395" s="59" t="s">
        <v>32</v>
      </c>
      <c r="J395" s="59" t="s">
        <v>32</v>
      </c>
      <c r="K395" s="28" t="str">
        <f>'[1]Gurobi tests'!F339</f>
        <v>Infeasible</v>
      </c>
      <c r="L395" s="28">
        <f>'[1]Gurobi tests'!G339</f>
        <v>4339.2</v>
      </c>
      <c r="M395" s="29" t="s">
        <v>32</v>
      </c>
      <c r="N395" s="29" t="s">
        <v>32</v>
      </c>
      <c r="O395" s="29">
        <f>(F395-L395)/L395</f>
        <v>-0.97665330014749274</v>
      </c>
      <c r="P395" s="14"/>
      <c r="Q395" s="20"/>
      <c r="R395" s="20"/>
      <c r="S395" s="4"/>
      <c r="T395" s="4"/>
      <c r="U395" s="2"/>
    </row>
    <row r="396" spans="1:21" x14ac:dyDescent="0.2">
      <c r="A396" s="19"/>
      <c r="B396" s="14"/>
      <c r="C396" s="28"/>
      <c r="D396" s="28"/>
      <c r="E396" s="29"/>
      <c r="F396" s="28"/>
      <c r="G396" s="32"/>
      <c r="H396" s="32"/>
      <c r="I396" s="32"/>
      <c r="J396" s="32"/>
      <c r="K396" s="32"/>
      <c r="L396" s="32"/>
      <c r="M396" s="32"/>
      <c r="N396" s="32"/>
      <c r="O396" s="32"/>
      <c r="P396" s="14"/>
      <c r="Q396" s="20"/>
      <c r="R396" s="20"/>
      <c r="S396" s="2"/>
      <c r="T396" s="2"/>
      <c r="U396" s="2"/>
    </row>
    <row r="397" spans="1:21" x14ac:dyDescent="0.2">
      <c r="A397" s="19" t="s">
        <v>89</v>
      </c>
      <c r="B397" s="14">
        <v>2400</v>
      </c>
      <c r="C397" s="28">
        <f>[1]ALNS!Z50</f>
        <v>47473.07</v>
      </c>
      <c r="D397" s="28">
        <f>[1]ALNS!AA50</f>
        <v>47473.07</v>
      </c>
      <c r="E397" s="29">
        <f>[1]ALNS!AD50</f>
        <v>0</v>
      </c>
      <c r="F397" s="28">
        <f>[1]ALNS!AE50</f>
        <v>14.681999999999999</v>
      </c>
      <c r="G397" s="28">
        <f>'[1]PFB tests'!F396</f>
        <v>47473.066749972502</v>
      </c>
      <c r="H397" s="28">
        <f>'[1]PFB tests'!G396</f>
        <v>14.924956125003501</v>
      </c>
      <c r="I397" s="30">
        <f t="shared" ref="I397:I403" si="104">(C397-G397)/G397</f>
        <v>6.8460449680498335E-8</v>
      </c>
      <c r="J397" s="30">
        <f>(F397-H397)/H397</f>
        <v>-1.6278515190840816E-2</v>
      </c>
      <c r="K397" s="28">
        <f>'[1]Gurobi tests'!F341</f>
        <v>47473.066749999998</v>
      </c>
      <c r="L397" s="32">
        <f>'[1]Gurobi tests'!G341</f>
        <v>24.82</v>
      </c>
      <c r="M397" s="29">
        <f>'[1]Gurobi tests'!H341/100</f>
        <v>0</v>
      </c>
      <c r="N397" s="29">
        <f t="shared" ref="N397:N403" si="105">(C397-K397)/K397</f>
        <v>6.8459870492179794E-8</v>
      </c>
      <c r="O397" s="29">
        <f t="shared" ref="O397:O403" si="106">(F397-L397)/L397</f>
        <v>-0.40846091861402101</v>
      </c>
      <c r="P397" s="14"/>
      <c r="Q397" s="20"/>
      <c r="R397" s="20"/>
      <c r="S397" s="2"/>
      <c r="T397" s="2"/>
      <c r="U397" s="2"/>
    </row>
    <row r="398" spans="1:21" x14ac:dyDescent="0.2">
      <c r="A398" s="19" t="s">
        <v>90</v>
      </c>
      <c r="B398" s="14">
        <v>2400</v>
      </c>
      <c r="C398" s="28">
        <f>[1]ALNS!Z51</f>
        <v>89102.01</v>
      </c>
      <c r="D398" s="28">
        <f>[1]ALNS!AA51</f>
        <v>89102.01</v>
      </c>
      <c r="E398" s="29">
        <f>[1]ALNS!AD51</f>
        <v>0</v>
      </c>
      <c r="F398" s="28">
        <f>[1]ALNS!AE51</f>
        <v>38.637999999999998</v>
      </c>
      <c r="G398" s="28">
        <f>'[1]PFB tests'!F397</f>
        <v>89362.668499999199</v>
      </c>
      <c r="H398" s="28">
        <f>'[1]PFB tests'!G397</f>
        <v>27.322370040987099</v>
      </c>
      <c r="I398" s="30">
        <f t="shared" si="104"/>
        <v>-2.9168611946632614E-3</v>
      </c>
      <c r="J398" s="30">
        <f t="shared" ref="J398:J403" si="107">(F398-H398)/H398</f>
        <v>0.41415257688253199</v>
      </c>
      <c r="K398" s="28">
        <f>'[1]Gurobi tests'!F342</f>
        <v>89102.004537016095</v>
      </c>
      <c r="L398" s="32">
        <f>'[1]Gurobi tests'!G342</f>
        <v>2152.84</v>
      </c>
      <c r="M398" s="29">
        <f>'[1]Gurobi tests'!H342/100</f>
        <v>0</v>
      </c>
      <c r="N398" s="29">
        <f t="shared" si="105"/>
        <v>6.1311571249375042E-8</v>
      </c>
      <c r="O398" s="29">
        <f t="shared" si="106"/>
        <v>-0.98205254454580926</v>
      </c>
      <c r="P398" s="14"/>
      <c r="Q398" s="20"/>
      <c r="R398" s="20"/>
      <c r="S398" s="2"/>
      <c r="T398" s="2"/>
      <c r="U398" s="2"/>
    </row>
    <row r="399" spans="1:21" x14ac:dyDescent="0.2">
      <c r="A399" s="19" t="s">
        <v>91</v>
      </c>
      <c r="B399" s="14">
        <v>2400</v>
      </c>
      <c r="C399" s="28">
        <f>[1]ALNS!Z52</f>
        <v>113228.42</v>
      </c>
      <c r="D399" s="28">
        <f>[1]ALNS!AA52</f>
        <v>113228.42</v>
      </c>
      <c r="E399" s="29">
        <f>[1]ALNS!AD52</f>
        <v>0</v>
      </c>
      <c r="F399" s="28">
        <f>[1]ALNS!AE52</f>
        <v>47.609999999999992</v>
      </c>
      <c r="G399" s="28">
        <f>'[1]PFB tests'!F398</f>
        <v>131458.51949999999</v>
      </c>
      <c r="H399" s="28">
        <f>'[1]PFB tests'!G398</f>
        <v>36.727830209012602</v>
      </c>
      <c r="I399" s="30">
        <f t="shared" si="104"/>
        <v>-0.13867567936515515</v>
      </c>
      <c r="J399" s="30">
        <f t="shared" si="107"/>
        <v>0.29629220482284374</v>
      </c>
      <c r="K399" s="28">
        <f>'[1]Gurobi tests'!F343</f>
        <v>133031.825099999</v>
      </c>
      <c r="L399" s="32">
        <f>'[1]Gurobi tests'!G343</f>
        <v>3640.42</v>
      </c>
      <c r="M399" s="29">
        <f>'[1]Gurobi tests'!H343/100</f>
        <v>0.32396655675076097</v>
      </c>
      <c r="N399" s="29">
        <f t="shared" si="105"/>
        <v>-0.14886216200606833</v>
      </c>
      <c r="O399" s="29">
        <f t="shared" si="106"/>
        <v>-0.98692183868894245</v>
      </c>
      <c r="P399" s="14"/>
      <c r="Q399" s="20"/>
      <c r="R399" s="20"/>
      <c r="S399" s="2"/>
      <c r="T399" s="2"/>
      <c r="U399" s="2"/>
    </row>
    <row r="400" spans="1:21" x14ac:dyDescent="0.2">
      <c r="A400" s="19" t="s">
        <v>92</v>
      </c>
      <c r="B400" s="14">
        <v>2400</v>
      </c>
      <c r="C400" s="28">
        <f>[1]ALNS!Z53</f>
        <v>140103.20000000001</v>
      </c>
      <c r="D400" s="28">
        <f>[1]ALNS!AA53</f>
        <v>140103.20000000001</v>
      </c>
      <c r="E400" s="29">
        <f>[1]ALNS!AD53</f>
        <v>0</v>
      </c>
      <c r="F400" s="28">
        <f>[1]ALNS!AE53</f>
        <v>64.47999999999999</v>
      </c>
      <c r="G400" s="28">
        <f>'[1]PFB tests'!F399</f>
        <v>141240.64574999901</v>
      </c>
      <c r="H400" s="28">
        <f>'[1]PFB tests'!G399</f>
        <v>146.033168458001</v>
      </c>
      <c r="I400" s="30">
        <f t="shared" si="104"/>
        <v>-8.053246598803538E-3</v>
      </c>
      <c r="J400" s="30">
        <f t="shared" si="107"/>
        <v>-0.55845647477994442</v>
      </c>
      <c r="K400" s="28">
        <f>'[1]Gurobi tests'!F344</f>
        <v>140133.89424846799</v>
      </c>
      <c r="L400" s="32">
        <f>'[1]Gurobi tests'!G344</f>
        <v>3691.54</v>
      </c>
      <c r="M400" s="29">
        <f>'[1]Gurobi tests'!H344/100</f>
        <v>0.208816699146298</v>
      </c>
      <c r="N400" s="29">
        <f t="shared" si="105"/>
        <v>-2.1903514943752016E-4</v>
      </c>
      <c r="O400" s="29">
        <f t="shared" si="106"/>
        <v>-0.98253303499352573</v>
      </c>
      <c r="P400" s="14"/>
      <c r="Q400" s="20"/>
      <c r="R400" s="20"/>
      <c r="S400" s="2"/>
      <c r="T400" s="2"/>
      <c r="U400" s="2"/>
    </row>
    <row r="401" spans="1:21" x14ac:dyDescent="0.2">
      <c r="A401" s="19" t="s">
        <v>93</v>
      </c>
      <c r="B401" s="14">
        <v>2400</v>
      </c>
      <c r="C401" s="28">
        <f>[1]ALNS!Z54</f>
        <v>166821.76000000001</v>
      </c>
      <c r="D401" s="28">
        <f>[1]ALNS!AA54</f>
        <v>166821.76000000001</v>
      </c>
      <c r="E401" s="29">
        <f>[1]ALNS!AD54</f>
        <v>0</v>
      </c>
      <c r="F401" s="28">
        <f>[1]ALNS!AE54</f>
        <v>121.03600000000002</v>
      </c>
      <c r="G401" s="28">
        <f>'[1]PFB tests'!F400</f>
        <v>168123.50899999999</v>
      </c>
      <c r="H401" s="28">
        <f>'[1]PFB tests'!G400</f>
        <v>441.34163116698602</v>
      </c>
      <c r="I401" s="30">
        <f t="shared" si="104"/>
        <v>-7.7428136477925976E-3</v>
      </c>
      <c r="J401" s="30">
        <f t="shared" si="107"/>
        <v>-0.72575440100685895</v>
      </c>
      <c r="K401" s="28">
        <f>'[1]Gurobi tests'!F345</f>
        <v>170832.15474999699</v>
      </c>
      <c r="L401" s="32">
        <f>'[1]Gurobi tests'!G345</f>
        <v>3744.85</v>
      </c>
      <c r="M401" s="29">
        <f>'[1]Gurobi tests'!H345/100</f>
        <v>0.26817354121979997</v>
      </c>
      <c r="N401" s="29">
        <f t="shared" si="105"/>
        <v>-2.3475643422433919E-2</v>
      </c>
      <c r="O401" s="29">
        <f t="shared" si="106"/>
        <v>-0.96767934630225505</v>
      </c>
      <c r="P401" s="14"/>
      <c r="Q401" s="20"/>
      <c r="R401" s="20"/>
      <c r="S401" s="2"/>
      <c r="T401" s="2"/>
      <c r="U401" s="2"/>
    </row>
    <row r="402" spans="1:21" x14ac:dyDescent="0.2">
      <c r="A402" s="19" t="s">
        <v>94</v>
      </c>
      <c r="B402" s="14">
        <v>2400</v>
      </c>
      <c r="C402" s="28">
        <f>[1]ALNS!Z55</f>
        <v>182181</v>
      </c>
      <c r="D402" s="28">
        <f>[1]ALNS!AA55</f>
        <v>182181</v>
      </c>
      <c r="E402" s="29">
        <f>[1]ALNS!AD55</f>
        <v>0</v>
      </c>
      <c r="F402" s="28">
        <f>[1]ALNS!AE55</f>
        <v>186.80200000000002</v>
      </c>
      <c r="G402" s="28">
        <f>'[1]PFB tests'!F401</f>
        <v>183494.02674999999</v>
      </c>
      <c r="H402" s="28">
        <f>'[1]PFB tests'!G401</f>
        <v>1391.90255324999</v>
      </c>
      <c r="I402" s="30">
        <f t="shared" si="104"/>
        <v>-7.1556920585154147E-3</v>
      </c>
      <c r="J402" s="30">
        <f t="shared" si="107"/>
        <v>-0.86579376583236289</v>
      </c>
      <c r="K402" s="28">
        <f>'[1]Gurobi tests'!F346</f>
        <v>190289.63182498</v>
      </c>
      <c r="L402" s="32">
        <f>'[1]Gurobi tests'!G346</f>
        <v>3783.38</v>
      </c>
      <c r="M402" s="29">
        <f>'[1]Gurobi tests'!H346/100</f>
        <v>0.26876905741646701</v>
      </c>
      <c r="N402" s="29">
        <f t="shared" si="105"/>
        <v>-4.2612052728327084E-2</v>
      </c>
      <c r="O402" s="29">
        <f t="shared" si="106"/>
        <v>-0.95062563104948483</v>
      </c>
      <c r="P402" s="14"/>
      <c r="Q402" s="20"/>
      <c r="R402" s="20"/>
      <c r="S402" s="2"/>
      <c r="T402" s="2"/>
      <c r="U402" s="2"/>
    </row>
    <row r="403" spans="1:21" x14ac:dyDescent="0.2">
      <c r="A403" s="19" t="s">
        <v>95</v>
      </c>
      <c r="B403" s="14">
        <v>2400</v>
      </c>
      <c r="C403" s="28">
        <f>[1]ALNS!Z56</f>
        <v>214003.40600000002</v>
      </c>
      <c r="D403" s="28">
        <f>[1]ALNS!AA56</f>
        <v>213830.9</v>
      </c>
      <c r="E403" s="29">
        <f>[1]ALNS!AD56</f>
        <v>7.4642469176233403E-4</v>
      </c>
      <c r="F403" s="28">
        <f>[1]ALNS!AE56</f>
        <v>197.57400000000001</v>
      </c>
      <c r="G403" s="28">
        <f>'[1]PFB tests'!F402</f>
        <v>215009.673249985</v>
      </c>
      <c r="H403" s="28">
        <f>'[1]PFB tests'!G402</f>
        <v>3255.5283064169898</v>
      </c>
      <c r="I403" s="30">
        <f t="shared" si="104"/>
        <v>-4.6801022241219417E-3</v>
      </c>
      <c r="J403" s="30">
        <f t="shared" si="107"/>
        <v>-0.93931123264676863</v>
      </c>
      <c r="K403" s="28">
        <f>'[1]Gurobi tests'!F347</f>
        <v>226733.29765172201</v>
      </c>
      <c r="L403" s="32">
        <f>'[1]Gurobi tests'!G347</f>
        <v>3900.27</v>
      </c>
      <c r="M403" s="29">
        <f>'[1]Gurobi tests'!H347/100</f>
        <v>0.29621959837690598</v>
      </c>
      <c r="N403" s="29">
        <f t="shared" si="105"/>
        <v>-5.614478236573784E-2</v>
      </c>
      <c r="O403" s="29">
        <f t="shared" si="106"/>
        <v>-0.94934350698797776</v>
      </c>
      <c r="P403" s="14"/>
      <c r="Q403" s="20"/>
      <c r="R403" s="20"/>
      <c r="S403" s="2"/>
      <c r="T403" s="2"/>
      <c r="U403" s="2"/>
    </row>
    <row r="404" spans="1:21" ht="17" x14ac:dyDescent="0.2">
      <c r="A404" s="19" t="s">
        <v>96</v>
      </c>
      <c r="B404" s="14">
        <v>2400</v>
      </c>
      <c r="C404" s="28">
        <f>[1]ALNS!Z57</f>
        <v>240225.56</v>
      </c>
      <c r="D404" s="28">
        <f>[1]ALNS!AA57</f>
        <v>239150.42</v>
      </c>
      <c r="E404" s="29">
        <f>[1]ALNS!AD57</f>
        <v>3.6058926086998716E-3</v>
      </c>
      <c r="F404" s="28">
        <f>[1]ALNS!AE57</f>
        <v>168.202</v>
      </c>
      <c r="G404" s="28">
        <f>'[1]PFB tests'!F403</f>
        <v>241503.50524999999</v>
      </c>
      <c r="H404" s="28">
        <f>'[1]PFB tests'!G403</f>
        <v>11013.757390499901</v>
      </c>
      <c r="I404" s="32"/>
      <c r="J404" s="30"/>
      <c r="K404" s="32" t="str">
        <f>'[1]Gurobi tests'!F348</f>
        <v>Infeasible</v>
      </c>
      <c r="L404" s="32">
        <f>'[1]Gurobi tests'!G348</f>
        <v>4024.76</v>
      </c>
      <c r="M404" s="29" t="s">
        <v>32</v>
      </c>
      <c r="N404" s="29" t="s">
        <v>32</v>
      </c>
      <c r="O404" s="29">
        <f>(F404-L404)/L404</f>
        <v>-0.95820819129587842</v>
      </c>
      <c r="P404" s="14"/>
      <c r="Q404" s="20"/>
      <c r="R404" s="20"/>
      <c r="S404" s="4"/>
      <c r="T404" s="2"/>
      <c r="U404" s="2"/>
    </row>
    <row r="405" spans="1:21" ht="17" x14ac:dyDescent="0.2">
      <c r="A405" s="19" t="s">
        <v>97</v>
      </c>
      <c r="B405" s="14">
        <v>2400</v>
      </c>
      <c r="C405" s="28">
        <f>[1]ALNS!Z58</f>
        <v>262164.56200000003</v>
      </c>
      <c r="D405" s="28">
        <f>[1]ALNS!AA58</f>
        <v>262073.51</v>
      </c>
      <c r="E405" s="29">
        <f>[1]ALNS!AD58</f>
        <v>2.1719075173578798E-4</v>
      </c>
      <c r="F405" s="28">
        <f>[1]ALNS!AE58</f>
        <v>240.52800000000002</v>
      </c>
      <c r="G405" s="58" t="s">
        <v>15</v>
      </c>
      <c r="H405" s="58" t="s">
        <v>32</v>
      </c>
      <c r="I405" s="59" t="s">
        <v>32</v>
      </c>
      <c r="J405" s="59" t="s">
        <v>32</v>
      </c>
      <c r="K405" s="32" t="str">
        <f>'[1]Gurobi tests'!F349</f>
        <v>Infeasible</v>
      </c>
      <c r="L405" s="32">
        <f>'[1]Gurobi tests'!G349</f>
        <v>4118.09</v>
      </c>
      <c r="M405" s="29" t="s">
        <v>32</v>
      </c>
      <c r="N405" s="29" t="s">
        <v>32</v>
      </c>
      <c r="O405" s="29">
        <f>(F405-L405)/L405</f>
        <v>-0.94159234013826798</v>
      </c>
      <c r="P405" s="14"/>
      <c r="Q405" s="20"/>
      <c r="R405" s="20"/>
      <c r="S405" s="4"/>
      <c r="T405" s="2"/>
      <c r="U405" s="2"/>
    </row>
    <row r="406" spans="1:21" ht="17" x14ac:dyDescent="0.2">
      <c r="A406" s="19" t="s">
        <v>98</v>
      </c>
      <c r="B406" s="14">
        <v>2400</v>
      </c>
      <c r="C406" s="28">
        <f>[1]ALNS!Z59</f>
        <v>288035.41799999995</v>
      </c>
      <c r="D406" s="28">
        <f>[1]ALNS!AA59</f>
        <v>287313.36</v>
      </c>
      <c r="E406" s="29">
        <f>[1]ALNS!AD59</f>
        <v>2.1684005914543634E-3</v>
      </c>
      <c r="F406" s="28">
        <f>[1]ALNS!AE59</f>
        <v>163.768</v>
      </c>
      <c r="G406" s="58" t="s">
        <v>15</v>
      </c>
      <c r="H406" s="58" t="s">
        <v>32</v>
      </c>
      <c r="I406" s="59" t="s">
        <v>32</v>
      </c>
      <c r="J406" s="59" t="s">
        <v>32</v>
      </c>
      <c r="K406" s="32"/>
      <c r="L406" s="32"/>
      <c r="M406" s="32"/>
      <c r="N406" s="32"/>
      <c r="O406" s="32"/>
      <c r="P406" s="14"/>
      <c r="Q406" s="20"/>
      <c r="R406" s="20"/>
      <c r="S406" s="4"/>
      <c r="T406" s="2"/>
      <c r="U406" s="2"/>
    </row>
    <row r="407" spans="1:21" x14ac:dyDescent="0.2">
      <c r="A407" s="14"/>
      <c r="B407" s="14"/>
      <c r="C407" s="28"/>
      <c r="D407" s="28"/>
      <c r="E407" s="29"/>
      <c r="F407" s="28"/>
      <c r="G407" s="32"/>
      <c r="H407" s="32"/>
      <c r="I407" s="32"/>
      <c r="J407" s="32"/>
      <c r="K407" s="32"/>
      <c r="L407" s="32"/>
      <c r="M407" s="32"/>
      <c r="N407" s="32"/>
      <c r="O407" s="32"/>
      <c r="P407" s="14"/>
      <c r="Q407" s="20"/>
      <c r="R407" s="20"/>
      <c r="S407" s="2"/>
      <c r="T407" s="2"/>
      <c r="U407" s="2"/>
    </row>
    <row r="408" spans="1:21" ht="17" x14ac:dyDescent="0.2">
      <c r="A408" s="19" t="s">
        <v>99</v>
      </c>
      <c r="B408" s="14">
        <v>2400</v>
      </c>
      <c r="C408" s="28">
        <f>[1]ALNS!Z61</f>
        <v>68730.83</v>
      </c>
      <c r="D408" s="28">
        <f>[1]ALNS!AA61</f>
        <v>68730.83</v>
      </c>
      <c r="E408" s="29">
        <f>[1]ALNS!AD61</f>
        <v>0</v>
      </c>
      <c r="F408" s="28">
        <f>[1]ALNS!AE61</f>
        <v>40.587999999999994</v>
      </c>
      <c r="G408" s="28" t="str">
        <f>'[1]PFB tests'!F407</f>
        <v>Infeasible</v>
      </c>
      <c r="H408" s="28">
        <f>'[1]PFB tests'!G407</f>
        <v>13.6912092920101</v>
      </c>
      <c r="I408" s="30" t="s">
        <v>32</v>
      </c>
      <c r="J408" s="30">
        <f>(F408-H408)/H408</f>
        <v>1.96452995015468</v>
      </c>
      <c r="K408" s="28">
        <f>'[1]Gurobi tests'!F352</f>
        <v>68730.829851328701</v>
      </c>
      <c r="L408" s="32">
        <f>'[1]Gurobi tests'!G352</f>
        <v>472.96</v>
      </c>
      <c r="M408" s="29">
        <f>'[1]Gurobi tests'!H352/100</f>
        <v>0</v>
      </c>
      <c r="N408" s="29">
        <f>(C408-K408)/K408</f>
        <v>2.1630948028786511E-9</v>
      </c>
      <c r="O408" s="29">
        <f t="shared" ref="O408:O412" si="108">(F408-L408)/L408</f>
        <v>-0.91418301759133958</v>
      </c>
      <c r="P408" s="14"/>
      <c r="Q408" s="20"/>
      <c r="R408" s="20"/>
      <c r="S408" s="4"/>
      <c r="T408" s="4"/>
      <c r="U408" s="2"/>
    </row>
    <row r="409" spans="1:21" ht="17" x14ac:dyDescent="0.2">
      <c r="A409" s="19" t="s">
        <v>205</v>
      </c>
      <c r="B409" s="14">
        <v>2400</v>
      </c>
      <c r="C409" s="28">
        <f>[1]ALNS!Z62</f>
        <v>117604.66</v>
      </c>
      <c r="D409" s="28">
        <f>[1]ALNS!AA62</f>
        <v>117587.79</v>
      </c>
      <c r="E409" s="29">
        <f>[1]ALNS!AD62</f>
        <v>3.2075656509209801E-4</v>
      </c>
      <c r="F409" s="28">
        <f>[1]ALNS!AE62</f>
        <v>65.917999999999992</v>
      </c>
      <c r="G409" s="28" t="str">
        <f>'[1]PFB tests'!F408</f>
        <v>Infeasible</v>
      </c>
      <c r="H409" s="28">
        <f>'[1]PFB tests'!G408</f>
        <v>19.141671041987099</v>
      </c>
      <c r="I409" s="30" t="s">
        <v>32</v>
      </c>
      <c r="J409" s="30">
        <f t="shared" ref="J409:J414" si="109">(F409-H409)/H409</f>
        <v>2.4436909847321795</v>
      </c>
      <c r="K409" s="28">
        <f>'[1]Gurobi tests'!F353</f>
        <v>119249.788312377</v>
      </c>
      <c r="L409" s="32">
        <f>'[1]Gurobi tests'!G353</f>
        <v>3625.74</v>
      </c>
      <c r="M409" s="29">
        <f>'[1]Gurobi tests'!H353/100</f>
        <v>0.29535419336087904</v>
      </c>
      <c r="N409" s="29">
        <f>(C409-K409)/K409</f>
        <v>-1.3795649750484701E-2</v>
      </c>
      <c r="O409" s="29">
        <f t="shared" si="108"/>
        <v>-0.98181943548075701</v>
      </c>
      <c r="P409" s="14"/>
      <c r="Q409" s="20"/>
      <c r="R409" s="20"/>
      <c r="S409" s="4"/>
      <c r="T409" s="4"/>
      <c r="U409" s="2"/>
    </row>
    <row r="410" spans="1:21" ht="17" x14ac:dyDescent="0.2">
      <c r="A410" s="19" t="s">
        <v>101</v>
      </c>
      <c r="B410" s="14">
        <v>2400</v>
      </c>
      <c r="C410" s="28">
        <f>[1]ALNS!Z63</f>
        <v>182540.098</v>
      </c>
      <c r="D410" s="28">
        <f>[1]ALNS!AA63</f>
        <v>182277.01</v>
      </c>
      <c r="E410" s="29">
        <f>[1]ALNS!AD63</f>
        <v>1.3156856474069332E-3</v>
      </c>
      <c r="F410" s="28">
        <f>[1]ALNS!AE63</f>
        <v>107.44200000000001</v>
      </c>
      <c r="G410" s="28" t="str">
        <f>'[1]PFB tests'!F409</f>
        <v>Infeasible</v>
      </c>
      <c r="H410" s="28">
        <f>'[1]PFB tests'!G409</f>
        <v>28.3588562909862</v>
      </c>
      <c r="I410" s="30" t="s">
        <v>32</v>
      </c>
      <c r="J410" s="30">
        <f t="shared" si="109"/>
        <v>2.7886577264454142</v>
      </c>
      <c r="K410" s="28" t="str">
        <f>'[1]Gurobi tests'!F354</f>
        <v>Infeasible</v>
      </c>
      <c r="L410" s="32">
        <f>'[1]Gurobi tests'!G354</f>
        <v>3640.23</v>
      </c>
      <c r="M410" s="29" t="s">
        <v>32</v>
      </c>
      <c r="N410" s="29" t="s">
        <v>32</v>
      </c>
      <c r="O410" s="29">
        <f t="shared" si="108"/>
        <v>-0.97048483200237345</v>
      </c>
      <c r="P410" s="14"/>
      <c r="Q410" s="20"/>
      <c r="R410" s="20"/>
      <c r="S410" s="4"/>
      <c r="T410" s="4"/>
      <c r="U410" s="2"/>
    </row>
    <row r="411" spans="1:21" ht="17" x14ac:dyDescent="0.2">
      <c r="A411" s="19" t="s">
        <v>206</v>
      </c>
      <c r="B411" s="14">
        <v>2400</v>
      </c>
      <c r="C411" s="28">
        <f>[1]ALNS!Z64</f>
        <v>169861.908</v>
      </c>
      <c r="D411" s="28">
        <f>[1]ALNS!AA64</f>
        <v>165779.49</v>
      </c>
      <c r="E411" s="29">
        <f>[1]ALNS!AD64</f>
        <v>2.2121045101472232E-2</v>
      </c>
      <c r="F411" s="28">
        <f>[1]ALNS!AE64</f>
        <v>162.25799999999998</v>
      </c>
      <c r="G411" s="28">
        <f>'[1]PFB tests'!F410</f>
        <v>171799.46554999999</v>
      </c>
      <c r="H411" s="28">
        <f>'[1]PFB tests'!G410</f>
        <v>161.82619933300799</v>
      </c>
      <c r="I411" s="30">
        <f>(C411-G411)/G411</f>
        <v>-1.1278018495558689E-2</v>
      </c>
      <c r="J411" s="30">
        <f t="shared" si="109"/>
        <v>2.6682988834423821E-3</v>
      </c>
      <c r="K411" s="28" t="str">
        <f>'[1]Gurobi tests'!F355</f>
        <v>Infeasible</v>
      </c>
      <c r="L411" s="32">
        <f>'[1]Gurobi tests'!G355</f>
        <v>3689.47</v>
      </c>
      <c r="M411" s="29" t="s">
        <v>32</v>
      </c>
      <c r="N411" s="29" t="s">
        <v>32</v>
      </c>
      <c r="O411" s="29">
        <f t="shared" si="108"/>
        <v>-0.9560213255562453</v>
      </c>
      <c r="P411" s="14"/>
      <c r="Q411" s="20"/>
      <c r="R411" s="20"/>
      <c r="S411" s="4"/>
      <c r="T411" s="4"/>
      <c r="U411" s="2"/>
    </row>
    <row r="412" spans="1:21" ht="17" x14ac:dyDescent="0.2">
      <c r="A412" s="19" t="s">
        <v>207</v>
      </c>
      <c r="B412" s="14">
        <v>2400</v>
      </c>
      <c r="C412" s="28">
        <f>[1]ALNS!Z65</f>
        <v>196343.13</v>
      </c>
      <c r="D412" s="28">
        <f>[1]ALNS!AA65</f>
        <v>196343.13</v>
      </c>
      <c r="E412" s="29">
        <f>[1]ALNS!AD65</f>
        <v>0</v>
      </c>
      <c r="F412" s="28">
        <f>[1]ALNS!AE65</f>
        <v>285.654</v>
      </c>
      <c r="G412" s="28">
        <f>'[1]PFB tests'!F411</f>
        <v>201105.13284999999</v>
      </c>
      <c r="H412" s="28">
        <f>'[1]PFB tests'!G411</f>
        <v>383.85533224997903</v>
      </c>
      <c r="I412" s="30">
        <f>(C412-G412)/G412</f>
        <v>-2.3679171100778745E-2</v>
      </c>
      <c r="J412" s="30">
        <f t="shared" si="109"/>
        <v>-0.25582901681831305</v>
      </c>
      <c r="K412" s="28" t="str">
        <f>'[1]Gurobi tests'!F356</f>
        <v>Infeasible</v>
      </c>
      <c r="L412" s="32">
        <f>'[1]Gurobi tests'!G356</f>
        <v>3743.66</v>
      </c>
      <c r="M412" s="29" t="s">
        <v>32</v>
      </c>
      <c r="N412" s="29" t="s">
        <v>32</v>
      </c>
      <c r="O412" s="29">
        <f t="shared" si="108"/>
        <v>-0.92369659637894463</v>
      </c>
      <c r="P412" s="14"/>
      <c r="Q412" s="20"/>
      <c r="R412" s="20"/>
      <c r="S412" s="4"/>
      <c r="T412" s="4"/>
      <c r="U412" s="2"/>
    </row>
    <row r="413" spans="1:21" ht="17" x14ac:dyDescent="0.2">
      <c r="A413" s="19" t="s">
        <v>208</v>
      </c>
      <c r="B413" s="14">
        <v>2400</v>
      </c>
      <c r="C413" s="28">
        <f>[1]ALNS!Z66</f>
        <v>222295.90600000002</v>
      </c>
      <c r="D413" s="28">
        <f>[1]ALNS!AA66</f>
        <v>220993.17</v>
      </c>
      <c r="E413" s="29">
        <f>[1]ALNS!AD66</f>
        <v>5.4390783554016213E-3</v>
      </c>
      <c r="F413" s="28">
        <f>[1]ALNS!AE66</f>
        <v>429.71800000000002</v>
      </c>
      <c r="G413" s="28">
        <f>'[1]PFB tests'!F412</f>
        <v>227384.781549999</v>
      </c>
      <c r="H413" s="28">
        <f>'[1]PFB tests'!G412</f>
        <v>1262.5975148330001</v>
      </c>
      <c r="I413" s="30">
        <f>(C413-G413)/G413</f>
        <v>-2.2380018202229599E-2</v>
      </c>
      <c r="J413" s="30">
        <f t="shared" si="109"/>
        <v>-0.65965559495272919</v>
      </c>
      <c r="K413" s="58" t="s">
        <v>15</v>
      </c>
      <c r="L413" s="58" t="s">
        <v>32</v>
      </c>
      <c r="M413" s="59" t="s">
        <v>32</v>
      </c>
      <c r="N413" s="59" t="s">
        <v>32</v>
      </c>
      <c r="O413" s="29" t="s">
        <v>32</v>
      </c>
      <c r="P413" s="14"/>
      <c r="Q413" s="20"/>
      <c r="R413" s="20"/>
      <c r="S413" s="4"/>
      <c r="T413" s="4"/>
      <c r="U413" s="2"/>
    </row>
    <row r="414" spans="1:21" ht="17" x14ac:dyDescent="0.2">
      <c r="A414" s="19" t="s">
        <v>105</v>
      </c>
      <c r="B414" s="14">
        <v>2400</v>
      </c>
      <c r="C414" s="28">
        <f>[1]ALNS!Z67</f>
        <v>246070.43599999999</v>
      </c>
      <c r="D414" s="28">
        <f>[1]ALNS!AA67</f>
        <v>245495.07</v>
      </c>
      <c r="E414" s="29">
        <f>[1]ALNS!AD67</f>
        <v>1.3963804072466342E-3</v>
      </c>
      <c r="F414" s="28">
        <f>[1]ALNS!AE67</f>
        <v>448.03399999999999</v>
      </c>
      <c r="G414" s="28">
        <f>'[1]PFB tests'!F413</f>
        <v>246984.66965</v>
      </c>
      <c r="H414" s="28">
        <f>'[1]PFB tests'!G413</f>
        <v>2838.2161893329999</v>
      </c>
      <c r="I414" s="30">
        <f>(C414-G414)/G414</f>
        <v>-3.7015805527345581E-3</v>
      </c>
      <c r="J414" s="30">
        <f t="shared" si="109"/>
        <v>-0.84214239856573747</v>
      </c>
      <c r="K414" s="58" t="s">
        <v>15</v>
      </c>
      <c r="L414" s="58" t="s">
        <v>32</v>
      </c>
      <c r="M414" s="59" t="s">
        <v>32</v>
      </c>
      <c r="N414" s="59" t="s">
        <v>32</v>
      </c>
      <c r="O414" s="32" t="s">
        <v>32</v>
      </c>
      <c r="P414" s="14"/>
      <c r="Q414" s="20"/>
      <c r="R414" s="20"/>
      <c r="S414" s="4"/>
      <c r="T414" s="4"/>
      <c r="U414" s="2"/>
    </row>
    <row r="415" spans="1:21" ht="17" x14ac:dyDescent="0.2">
      <c r="A415" s="19" t="s">
        <v>106</v>
      </c>
      <c r="B415" s="14">
        <v>2400</v>
      </c>
      <c r="C415" s="28">
        <f>[1]ALNS!Z68</f>
        <v>282351.55000000005</v>
      </c>
      <c r="D415" s="28">
        <f>[1]ALNS!AA68</f>
        <v>280110</v>
      </c>
      <c r="E415" s="29">
        <f>[1]ALNS!AD68</f>
        <v>7.6448701895674336E-3</v>
      </c>
      <c r="F415" s="28">
        <f>[1]ALNS!AE68</f>
        <v>386.08600000000001</v>
      </c>
      <c r="G415" s="28" t="str">
        <f>'[1]PFB tests'!F414</f>
        <v>Infeasible</v>
      </c>
      <c r="H415" s="28" t="str">
        <f>'[1]PFB tests'!G414</f>
        <v>-</v>
      </c>
      <c r="I415" s="32" t="s">
        <v>32</v>
      </c>
      <c r="J415" s="30" t="s">
        <v>32</v>
      </c>
      <c r="K415" s="58" t="s">
        <v>15</v>
      </c>
      <c r="L415" s="58" t="s">
        <v>32</v>
      </c>
      <c r="M415" s="59" t="s">
        <v>32</v>
      </c>
      <c r="N415" s="59" t="s">
        <v>32</v>
      </c>
      <c r="O415" s="32" t="s">
        <v>32</v>
      </c>
      <c r="P415" s="14"/>
      <c r="Q415" s="20"/>
      <c r="R415" s="20"/>
      <c r="S415" s="4"/>
      <c r="T415" s="4"/>
      <c r="U415" s="2"/>
    </row>
    <row r="416" spans="1:21" ht="17" x14ac:dyDescent="0.2">
      <c r="A416" s="19" t="s">
        <v>209</v>
      </c>
      <c r="B416" s="14">
        <v>2400</v>
      </c>
      <c r="C416" s="28">
        <f>[1]ALNS!Z69</f>
        <v>304859.51399999997</v>
      </c>
      <c r="D416" s="28">
        <f>[1]ALNS!AA69</f>
        <v>304083.64</v>
      </c>
      <c r="E416" s="29">
        <f>[1]ALNS!AD69</f>
        <v>2.0803994750558741E-3</v>
      </c>
      <c r="F416" s="28">
        <f>[1]ALNS!AE69</f>
        <v>488.80600000000004</v>
      </c>
      <c r="G416" s="58" t="s">
        <v>15</v>
      </c>
      <c r="H416" s="58" t="s">
        <v>32</v>
      </c>
      <c r="I416" s="59" t="s">
        <v>32</v>
      </c>
      <c r="J416" s="59" t="s">
        <v>32</v>
      </c>
      <c r="K416" s="58" t="s">
        <v>15</v>
      </c>
      <c r="L416" s="58" t="s">
        <v>32</v>
      </c>
      <c r="M416" s="59" t="s">
        <v>32</v>
      </c>
      <c r="N416" s="59" t="s">
        <v>32</v>
      </c>
      <c r="O416" s="32" t="s">
        <v>32</v>
      </c>
      <c r="P416" s="14"/>
      <c r="Q416" s="20"/>
      <c r="R416" s="20"/>
      <c r="S416" s="4"/>
      <c r="T416" s="4"/>
      <c r="U416" s="2"/>
    </row>
    <row r="417" spans="1:21" ht="17" x14ac:dyDescent="0.2">
      <c r="A417" s="19" t="s">
        <v>108</v>
      </c>
      <c r="B417" s="14">
        <v>2400</v>
      </c>
      <c r="C417" s="28">
        <f>[1]ALNS!Z70</f>
        <v>338984.75599999999</v>
      </c>
      <c r="D417" s="28">
        <f>[1]ALNS!AA70</f>
        <v>335535.05</v>
      </c>
      <c r="E417" s="29">
        <f>[1]ALNS!AD70</f>
        <v>8.2976544204358873E-3</v>
      </c>
      <c r="F417" s="28">
        <f>[1]ALNS!AE70</f>
        <v>467.94399999999996</v>
      </c>
      <c r="G417" s="58" t="s">
        <v>15</v>
      </c>
      <c r="H417" s="58" t="s">
        <v>32</v>
      </c>
      <c r="I417" s="59" t="s">
        <v>32</v>
      </c>
      <c r="J417" s="59" t="s">
        <v>32</v>
      </c>
      <c r="K417" s="58" t="s">
        <v>15</v>
      </c>
      <c r="L417" s="58" t="s">
        <v>32</v>
      </c>
      <c r="M417" s="59" t="s">
        <v>32</v>
      </c>
      <c r="N417" s="59" t="s">
        <v>32</v>
      </c>
      <c r="O417" s="32" t="s">
        <v>32</v>
      </c>
      <c r="P417" s="14"/>
      <c r="Q417" s="20"/>
      <c r="R417" s="20"/>
      <c r="S417" s="4"/>
      <c r="T417" s="4"/>
      <c r="U417" s="2"/>
    </row>
    <row r="418" spans="1:21" x14ac:dyDescent="0.2">
      <c r="A418" s="14"/>
      <c r="B418" s="14"/>
      <c r="C418" s="32"/>
      <c r="D418" s="32"/>
      <c r="E418" s="32"/>
      <c r="F418" s="32"/>
      <c r="G418" s="32"/>
      <c r="H418" s="32"/>
      <c r="I418" s="30"/>
      <c r="J418" s="30"/>
      <c r="K418" s="32"/>
      <c r="L418" s="32"/>
      <c r="M418" s="31"/>
      <c r="N418" s="30"/>
      <c r="O418" s="30"/>
      <c r="P418" s="30"/>
      <c r="Q418" s="20"/>
      <c r="R418" s="20"/>
      <c r="S418" s="21"/>
      <c r="T418" s="21"/>
      <c r="U418" s="21"/>
    </row>
    <row r="419" spans="1:21" x14ac:dyDescent="0.2">
      <c r="A419" s="19" t="s">
        <v>109</v>
      </c>
      <c r="B419" s="14">
        <v>2400</v>
      </c>
      <c r="C419" s="28">
        <f>[1]ALNS!Z72</f>
        <v>38500.26</v>
      </c>
      <c r="D419" s="28">
        <f>[1]ALNS!AA72</f>
        <v>38500.26</v>
      </c>
      <c r="E419" s="29">
        <f>[1]ALNS!AD72</f>
        <v>0</v>
      </c>
      <c r="F419" s="28">
        <f>[1]ALNS!AE72</f>
        <v>14.634</v>
      </c>
      <c r="G419" s="28">
        <f>'[1]PFB tests'!F418</f>
        <v>38500.2599999999</v>
      </c>
      <c r="H419" s="28">
        <f>'[1]PFB tests'!G418</f>
        <v>18.986387292010399</v>
      </c>
      <c r="I419" s="30">
        <f t="shared" ref="I419:I425" si="110">(C419-G419)/G419</f>
        <v>2.6457849011556864E-15</v>
      </c>
      <c r="J419" s="30">
        <f>(F419-H419)/H419</f>
        <v>-0.22923725430597913</v>
      </c>
      <c r="K419" s="28">
        <f>'[1]Gurobi tests'!F363</f>
        <v>38500.2599999999</v>
      </c>
      <c r="L419" s="32">
        <f>'[1]Gurobi tests'!G363</f>
        <v>20.100000000000001</v>
      </c>
      <c r="M419" s="29">
        <f>'[1]Gurobi tests'!H363/100</f>
        <v>0</v>
      </c>
      <c r="N419" s="29">
        <f t="shared" ref="N419:N425" si="111">(C419-K419)/K419</f>
        <v>2.6457849011556864E-15</v>
      </c>
      <c r="O419" s="29">
        <f t="shared" ref="O419:O425" si="112">(F419-L419)/L419</f>
        <v>-0.27194029850746271</v>
      </c>
      <c r="P419" s="14"/>
      <c r="Q419" s="20"/>
      <c r="R419" s="20"/>
      <c r="S419" s="2"/>
      <c r="T419" s="2"/>
      <c r="U419" s="2"/>
    </row>
    <row r="420" spans="1:21" x14ac:dyDescent="0.2">
      <c r="A420" s="19" t="s">
        <v>110</v>
      </c>
      <c r="B420" s="14">
        <v>2400</v>
      </c>
      <c r="C420" s="28">
        <f>[1]ALNS!Z73</f>
        <v>64509.839999999989</v>
      </c>
      <c r="D420" s="28">
        <f>[1]ALNS!AA73</f>
        <v>64509.84</v>
      </c>
      <c r="E420" s="29">
        <f>[1]ALNS!AD73</f>
        <v>1.2610119500157908E-16</v>
      </c>
      <c r="F420" s="28">
        <f>[1]ALNS!AE73</f>
        <v>21.574000000000002</v>
      </c>
      <c r="G420" s="28">
        <f>'[1]PFB tests'!F419</f>
        <v>64509.840055000001</v>
      </c>
      <c r="H420" s="28">
        <f>'[1]PFB tests'!G419</f>
        <v>22.885559332993498</v>
      </c>
      <c r="I420" s="30">
        <f t="shared" si="110"/>
        <v>-8.5258328491617519E-10</v>
      </c>
      <c r="J420" s="30">
        <f t="shared" ref="J420:J425" si="113">(F420-H420)/H420</f>
        <v>-5.7309472489171662E-2</v>
      </c>
      <c r="K420" s="28">
        <f>'[1]Gurobi tests'!F364</f>
        <v>64509.839903659602</v>
      </c>
      <c r="L420" s="32">
        <f>'[1]Gurobi tests'!G364</f>
        <v>526.61</v>
      </c>
      <c r="M420" s="29">
        <f>'[1]Gurobi tests'!H364/100</f>
        <v>0</v>
      </c>
      <c r="N420" s="29">
        <f t="shared" si="111"/>
        <v>1.4934215832590139E-9</v>
      </c>
      <c r="O420" s="29">
        <f t="shared" si="112"/>
        <v>-0.95903230094377245</v>
      </c>
      <c r="P420" s="14"/>
      <c r="Q420" s="20"/>
      <c r="R420" s="20"/>
      <c r="S420" s="2"/>
      <c r="T420" s="2"/>
      <c r="U420" s="2"/>
    </row>
    <row r="421" spans="1:21" x14ac:dyDescent="0.2">
      <c r="A421" s="19" t="s">
        <v>111</v>
      </c>
      <c r="B421" s="14">
        <v>2400</v>
      </c>
      <c r="C421" s="28">
        <f>[1]ALNS!Z74</f>
        <v>88037.64</v>
      </c>
      <c r="D421" s="28">
        <f>[1]ALNS!AA74</f>
        <v>88037.64</v>
      </c>
      <c r="E421" s="29">
        <f>[1]ALNS!AD74</f>
        <v>0</v>
      </c>
      <c r="F421" s="28">
        <f>[1]ALNS!AE74</f>
        <v>28.022000000000002</v>
      </c>
      <c r="G421" s="28">
        <f>'[1]PFB tests'!F420</f>
        <v>88037.640054999996</v>
      </c>
      <c r="H421" s="28">
        <f>'[1]PFB tests'!G420</f>
        <v>27.2650036670092</v>
      </c>
      <c r="I421" s="30">
        <f t="shared" si="110"/>
        <v>-6.2473274791593036E-10</v>
      </c>
      <c r="J421" s="30">
        <f t="shared" si="113"/>
        <v>2.7764395055144324E-2</v>
      </c>
      <c r="K421" s="28">
        <f>'[1]Gurobi tests'!F365</f>
        <v>88037.637057404703</v>
      </c>
      <c r="L421" s="32">
        <f>'[1]Gurobi tests'!G365</f>
        <v>2203.63</v>
      </c>
      <c r="M421" s="29">
        <f>'[1]Gurobi tests'!H365/100</f>
        <v>0</v>
      </c>
      <c r="N421" s="29">
        <f t="shared" si="111"/>
        <v>3.3424287549555755E-8</v>
      </c>
      <c r="O421" s="29">
        <f t="shared" si="112"/>
        <v>-0.98728370915262542</v>
      </c>
      <c r="P421" s="14"/>
      <c r="Q421" s="20"/>
      <c r="R421" s="20"/>
      <c r="S421" s="2"/>
      <c r="T421" s="2"/>
      <c r="U421" s="2"/>
    </row>
    <row r="422" spans="1:21" x14ac:dyDescent="0.2">
      <c r="A422" s="19" t="s">
        <v>112</v>
      </c>
      <c r="B422" s="14">
        <v>2400</v>
      </c>
      <c r="C422" s="28">
        <f>[1]ALNS!Z75</f>
        <v>106011.56000000001</v>
      </c>
      <c r="D422" s="28">
        <f>[1]ALNS!AA75</f>
        <v>106011.56</v>
      </c>
      <c r="E422" s="29">
        <f>[1]ALNS!AD75</f>
        <v>1.5346945018752038E-16</v>
      </c>
      <c r="F422" s="28">
        <f>[1]ALNS!AE75</f>
        <v>42.332000000000001</v>
      </c>
      <c r="G422" s="28">
        <f>'[1]PFB tests'!F421</f>
        <v>106011.56411000001</v>
      </c>
      <c r="H422" s="28">
        <f>'[1]PFB tests'!G421</f>
        <v>38.633261374983697</v>
      </c>
      <c r="I422" s="30">
        <f t="shared" si="110"/>
        <v>-3.8769355295366317E-8</v>
      </c>
      <c r="J422" s="30">
        <f t="shared" si="113"/>
        <v>9.5739745840131396E-2</v>
      </c>
      <c r="K422" s="28">
        <f>'[1]Gurobi tests'!F366</f>
        <v>108803.531999999</v>
      </c>
      <c r="L422" s="32">
        <f>'[1]Gurobi tests'!G366</f>
        <v>3691.76</v>
      </c>
      <c r="M422" s="29">
        <f>'[1]Gurobi tests'!H366/100</f>
        <v>0.218329735258605</v>
      </c>
      <c r="N422" s="29">
        <f t="shared" si="111"/>
        <v>-2.5660674324423732E-2</v>
      </c>
      <c r="O422" s="29">
        <f t="shared" si="112"/>
        <v>-0.98853338245173039</v>
      </c>
      <c r="P422" s="14"/>
      <c r="Q422" s="20"/>
      <c r="R422" s="20"/>
      <c r="S422" s="2"/>
      <c r="T422" s="2"/>
      <c r="U422" s="2"/>
    </row>
    <row r="423" spans="1:21" x14ac:dyDescent="0.2">
      <c r="A423" s="19" t="s">
        <v>113</v>
      </c>
      <c r="B423" s="14">
        <v>2400</v>
      </c>
      <c r="C423" s="28">
        <f>[1]ALNS!Z76</f>
        <v>122970.03800000002</v>
      </c>
      <c r="D423" s="28">
        <f>[1]ALNS!AA76</f>
        <v>122766.41</v>
      </c>
      <c r="E423" s="29">
        <f>[1]ALNS!AD76</f>
        <v>3.7027397691974931E-3</v>
      </c>
      <c r="F423" s="28">
        <f>[1]ALNS!AE76</f>
        <v>51.974000000000004</v>
      </c>
      <c r="G423" s="28">
        <f>'[1]PFB tests'!F422</f>
        <v>122736.57610999999</v>
      </c>
      <c r="H423" s="28">
        <f>'[1]PFB tests'!G422</f>
        <v>103.738292582973</v>
      </c>
      <c r="I423" s="30">
        <f t="shared" si="110"/>
        <v>1.9021378744571247E-3</v>
      </c>
      <c r="J423" s="30">
        <f t="shared" si="113"/>
        <v>-0.49898924778977216</v>
      </c>
      <c r="K423" s="28">
        <f>'[1]Gurobi tests'!F367</f>
        <v>130878.88800000001</v>
      </c>
      <c r="L423" s="32">
        <f>'[1]Gurobi tests'!G367</f>
        <v>3747.2</v>
      </c>
      <c r="M423" s="29">
        <f>'[1]Gurobi tests'!H367/100</f>
        <v>0.29381903143598698</v>
      </c>
      <c r="N423" s="29">
        <f t="shared" si="111"/>
        <v>-6.042876831288474E-2</v>
      </c>
      <c r="O423" s="29">
        <f t="shared" si="112"/>
        <v>-0.98612991033304864</v>
      </c>
      <c r="P423" s="14"/>
      <c r="Q423" s="20"/>
      <c r="R423" s="20"/>
      <c r="S423" s="2"/>
      <c r="T423" s="2"/>
      <c r="U423" s="2"/>
    </row>
    <row r="424" spans="1:21" x14ac:dyDescent="0.2">
      <c r="A424" s="19" t="s">
        <v>114</v>
      </c>
      <c r="B424" s="14">
        <v>2400</v>
      </c>
      <c r="C424" s="28">
        <f>[1]ALNS!Z77</f>
        <v>131637.75200000001</v>
      </c>
      <c r="D424" s="28">
        <f>[1]ALNS!AA77</f>
        <v>130549.61</v>
      </c>
      <c r="E424" s="29">
        <f>[1]ALNS!AD77</f>
        <v>9.3074285404069496E-3</v>
      </c>
      <c r="F424" s="28">
        <f>[1]ALNS!AE77</f>
        <v>63.806000000000004</v>
      </c>
      <c r="G424" s="28">
        <f>'[1]PFB tests'!F423</f>
        <v>130549.608216066</v>
      </c>
      <c r="H424" s="28">
        <f>'[1]PFB tests'!G423</f>
        <v>218.05113841700901</v>
      </c>
      <c r="I424" s="30">
        <f t="shared" si="110"/>
        <v>8.3350980428303981E-3</v>
      </c>
      <c r="J424" s="30">
        <f t="shared" si="113"/>
        <v>-0.70738056924071147</v>
      </c>
      <c r="K424" s="28">
        <f>'[1]Gurobi tests'!F368</f>
        <v>144304.81200000001</v>
      </c>
      <c r="L424" s="32">
        <f>'[1]Gurobi tests'!G368</f>
        <v>3797.16</v>
      </c>
      <c r="M424" s="29">
        <f>'[1]Gurobi tests'!H368/100</f>
        <v>0.30335778685618303</v>
      </c>
      <c r="N424" s="29">
        <f t="shared" si="111"/>
        <v>-8.7779886369970792E-2</v>
      </c>
      <c r="O424" s="29">
        <f t="shared" si="112"/>
        <v>-0.98319638888011041</v>
      </c>
      <c r="P424" s="14"/>
      <c r="Q424" s="20"/>
      <c r="R424" s="20"/>
      <c r="S424" s="2"/>
      <c r="T424" s="2"/>
      <c r="U424" s="2"/>
    </row>
    <row r="425" spans="1:21" x14ac:dyDescent="0.2">
      <c r="A425" s="19" t="s">
        <v>115</v>
      </c>
      <c r="B425" s="14">
        <v>2400</v>
      </c>
      <c r="C425" s="28">
        <f>[1]ALNS!Z78</f>
        <v>161873.204</v>
      </c>
      <c r="D425" s="28">
        <f>[1]ALNS!AA78</f>
        <v>161818.16</v>
      </c>
      <c r="E425" s="29">
        <f>[1]ALNS!AD78</f>
        <v>4.6562432370386795E-4</v>
      </c>
      <c r="F425" s="28">
        <f>[1]ALNS!AE78</f>
        <v>71.242000000000004</v>
      </c>
      <c r="G425" s="28">
        <f>'[1]PFB tests'!F424</f>
        <v>161818.164271213</v>
      </c>
      <c r="H425" s="28">
        <f>'[1]PFB tests'!G424</f>
        <v>1739.42517666702</v>
      </c>
      <c r="I425" s="30">
        <f t="shared" si="110"/>
        <v>3.4013319230807436E-4</v>
      </c>
      <c r="J425" s="30">
        <f t="shared" si="113"/>
        <v>-0.95904279128780379</v>
      </c>
      <c r="K425" s="28">
        <f>'[1]Gurobi tests'!F369</f>
        <v>170577.864</v>
      </c>
      <c r="L425" s="32">
        <f>'[1]Gurobi tests'!G369</f>
        <v>3914.87</v>
      </c>
      <c r="M425" s="29">
        <f>'[1]Gurobi tests'!H369/100</f>
        <v>0.30721474834194601</v>
      </c>
      <c r="N425" s="29">
        <f t="shared" si="111"/>
        <v>-5.1030419750126566E-2</v>
      </c>
      <c r="O425" s="29">
        <f t="shared" si="112"/>
        <v>-0.98180220543721752</v>
      </c>
      <c r="P425" s="14"/>
      <c r="Q425" s="20"/>
      <c r="R425" s="20"/>
      <c r="S425" s="2"/>
      <c r="T425" s="2"/>
      <c r="U425" s="2"/>
    </row>
    <row r="426" spans="1:21" ht="17" x14ac:dyDescent="0.2">
      <c r="A426" s="19" t="s">
        <v>116</v>
      </c>
      <c r="B426" s="14">
        <v>2400</v>
      </c>
      <c r="C426" s="28">
        <f>[1]ALNS!Z79</f>
        <v>174086.81</v>
      </c>
      <c r="D426" s="28">
        <f>[1]ALNS!AA79</f>
        <v>174086.81</v>
      </c>
      <c r="E426" s="29">
        <f>[1]ALNS!AD79</f>
        <v>0</v>
      </c>
      <c r="F426" s="28">
        <f>[1]ALNS!AE79</f>
        <v>88.823999999999998</v>
      </c>
      <c r="G426" s="28" t="str">
        <f>'[1]PFB tests'!F425</f>
        <v>Infeasible</v>
      </c>
      <c r="H426" s="28" t="str">
        <f>'[1]PFB tests'!G425</f>
        <v>-</v>
      </c>
      <c r="I426" s="30" t="s">
        <v>32</v>
      </c>
      <c r="J426" s="30" t="s">
        <v>32</v>
      </c>
      <c r="K426" s="28">
        <f>'[1]Gurobi tests'!F370</f>
        <v>240365.26805499999</v>
      </c>
      <c r="L426" s="32">
        <f>'[1]Gurobi tests'!G370</f>
        <v>3987.5</v>
      </c>
      <c r="M426" s="29">
        <f>'[1]Gurobi tests'!H370/100</f>
        <v>0.45927999833592797</v>
      </c>
      <c r="N426" s="29">
        <f>(C426-K426)/K426</f>
        <v>-0.2757405784592567</v>
      </c>
      <c r="O426" s="29">
        <f>(F426-L426)/L426</f>
        <v>-0.97772438871473355</v>
      </c>
      <c r="P426" s="14"/>
      <c r="Q426" s="20"/>
      <c r="R426" s="20"/>
      <c r="S426" s="4"/>
      <c r="T426" s="2"/>
      <c r="U426" s="2"/>
    </row>
    <row r="427" spans="1:21" ht="17" x14ac:dyDescent="0.2">
      <c r="A427" s="19" t="s">
        <v>117</v>
      </c>
      <c r="B427" s="14">
        <v>2400</v>
      </c>
      <c r="C427" s="28">
        <f>[1]ALNS!Z80</f>
        <v>203843.23000000004</v>
      </c>
      <c r="D427" s="28">
        <f>[1]ALNS!AA80</f>
        <v>202990.16</v>
      </c>
      <c r="E427" s="29">
        <f>[1]ALNS!AD80</f>
        <v>5.4601025250008836E-3</v>
      </c>
      <c r="F427" s="28">
        <f>[1]ALNS!AE80</f>
        <v>91.286000000000001</v>
      </c>
      <c r="G427" s="58" t="s">
        <v>15</v>
      </c>
      <c r="H427" s="58" t="s">
        <v>32</v>
      </c>
      <c r="I427" s="59" t="s">
        <v>32</v>
      </c>
      <c r="J427" s="59" t="s">
        <v>32</v>
      </c>
      <c r="K427" s="28">
        <f>'[1]Gurobi tests'!F371</f>
        <v>248469.103999999</v>
      </c>
      <c r="L427" s="32">
        <f>'[1]Gurobi tests'!G371</f>
        <v>4134.33</v>
      </c>
      <c r="M427" s="29">
        <f>'[1]Gurobi tests'!H371/100</f>
        <v>0.39451876732051</v>
      </c>
      <c r="N427" s="29">
        <f>(C427-K427)/K427</f>
        <v>-0.17960331196750781</v>
      </c>
      <c r="O427" s="29">
        <f>(F427-L427)/L427</f>
        <v>-0.97792000154801384</v>
      </c>
      <c r="P427" s="14"/>
      <c r="Q427" s="20"/>
      <c r="R427" s="20"/>
      <c r="S427" s="4"/>
      <c r="T427" s="2"/>
      <c r="U427" s="2"/>
    </row>
    <row r="428" spans="1:21" ht="17" x14ac:dyDescent="0.2">
      <c r="A428" s="19" t="s">
        <v>118</v>
      </c>
      <c r="B428" s="14">
        <v>2400</v>
      </c>
      <c r="C428" s="28">
        <f>[1]ALNS!Z81</f>
        <v>230972.212</v>
      </c>
      <c r="D428" s="28">
        <f>[1]ALNS!AA81</f>
        <v>230904.35</v>
      </c>
      <c r="E428" s="29">
        <f>[1]ALNS!AD81</f>
        <v>4.8549516511651439E-4</v>
      </c>
      <c r="F428" s="28">
        <f>[1]ALNS!AE81</f>
        <v>102.44800000000001</v>
      </c>
      <c r="G428" s="58" t="s">
        <v>15</v>
      </c>
      <c r="H428" s="58" t="s">
        <v>32</v>
      </c>
      <c r="I428" s="59" t="s">
        <v>32</v>
      </c>
      <c r="J428" s="59" t="s">
        <v>32</v>
      </c>
      <c r="K428" s="28">
        <f>'[1]Gurobi tests'!F372</f>
        <v>255965.467999999</v>
      </c>
      <c r="L428" s="32">
        <f>'[1]Gurobi tests'!G372</f>
        <v>4362.9399999999996</v>
      </c>
      <c r="M428" s="29">
        <f>'[1]Gurobi tests'!H372/100</f>
        <v>0.33740136844086999</v>
      </c>
      <c r="N428" s="29">
        <f>(C428-K428)/K428</f>
        <v>-9.7643077385731969E-2</v>
      </c>
      <c r="O428" s="29">
        <f>(F428-L428)/L428</f>
        <v>-0.97651858609103026</v>
      </c>
      <c r="P428" s="14"/>
      <c r="Q428" s="20"/>
      <c r="R428" s="20"/>
      <c r="S428" s="4"/>
      <c r="T428" s="2"/>
      <c r="U428" s="2"/>
    </row>
    <row r="429" spans="1:21" x14ac:dyDescent="0.2">
      <c r="A429" s="14"/>
      <c r="B429" s="14"/>
      <c r="C429" s="28"/>
      <c r="D429" s="28"/>
      <c r="E429" s="29"/>
      <c r="F429" s="28"/>
      <c r="G429" s="28"/>
      <c r="H429" s="32"/>
      <c r="I429" s="32"/>
      <c r="J429" s="32"/>
      <c r="K429" s="28"/>
      <c r="L429" s="32"/>
      <c r="M429" s="32"/>
      <c r="N429" s="32"/>
      <c r="O429" s="32"/>
      <c r="P429" s="14"/>
      <c r="Q429" s="20"/>
      <c r="R429" s="20"/>
      <c r="S429" s="2"/>
      <c r="T429" s="2"/>
      <c r="U429" s="2"/>
    </row>
    <row r="430" spans="1:21" x14ac:dyDescent="0.2">
      <c r="A430" s="19" t="s">
        <v>119</v>
      </c>
      <c r="B430" s="14">
        <v>2400</v>
      </c>
      <c r="C430" s="28">
        <f>[1]ALNS!Z83</f>
        <v>47323.24</v>
      </c>
      <c r="D430" s="28">
        <f>[1]ALNS!AA83</f>
        <v>47323.24</v>
      </c>
      <c r="E430" s="29">
        <f>[1]ALNS!AD83</f>
        <v>0</v>
      </c>
      <c r="F430" s="28">
        <f>[1]ALNS!AE83</f>
        <v>15.12</v>
      </c>
      <c r="G430" s="28">
        <f>'[1]PFB tests'!F429</f>
        <v>47323.2362499999</v>
      </c>
      <c r="H430" s="28">
        <f>'[1]PFB tests'!G429</f>
        <v>18.4824750840198</v>
      </c>
      <c r="I430" s="30">
        <f t="shared" ref="I430:I436" si="114">(C430-G430)/G430</f>
        <v>7.9242258037243098E-8</v>
      </c>
      <c r="J430" s="30">
        <f>(F430-H430)/H430</f>
        <v>-0.18192774878549911</v>
      </c>
      <c r="K430" s="28">
        <f>'[1]Gurobi tests'!F374</f>
        <v>47323.236194999998</v>
      </c>
      <c r="L430" s="32">
        <f>'[1]Gurobi tests'!G374</f>
        <v>23.22</v>
      </c>
      <c r="M430" s="29">
        <f>'[1]Gurobi tests'!H374/100</f>
        <v>0</v>
      </c>
      <c r="N430" s="29">
        <f>(C430-K430)/K430</f>
        <v>8.0404475818288949E-8</v>
      </c>
      <c r="O430" s="29">
        <f t="shared" ref="O430:O434" si="115">(F430-L430)/L430</f>
        <v>-0.34883720930232559</v>
      </c>
      <c r="P430" s="14"/>
      <c r="Q430" s="20"/>
      <c r="R430" s="20"/>
      <c r="S430" s="2"/>
      <c r="T430" s="2"/>
      <c r="U430" s="2"/>
    </row>
    <row r="431" spans="1:21" x14ac:dyDescent="0.2">
      <c r="A431" s="19" t="s">
        <v>120</v>
      </c>
      <c r="B431" s="14">
        <v>2400</v>
      </c>
      <c r="C431" s="28">
        <f>[1]ALNS!Z84</f>
        <v>79293.34</v>
      </c>
      <c r="D431" s="28">
        <f>[1]ALNS!AA84</f>
        <v>79293.34</v>
      </c>
      <c r="E431" s="29">
        <f>[1]ALNS!AD84</f>
        <v>0</v>
      </c>
      <c r="F431" s="28">
        <f>[1]ALNS!AE84</f>
        <v>22.666</v>
      </c>
      <c r="G431" s="28">
        <f>'[1]PFB tests'!F430</f>
        <v>79293.344999999899</v>
      </c>
      <c r="H431" s="28">
        <f>'[1]PFB tests'!G430</f>
        <v>22.6286055420059</v>
      </c>
      <c r="I431" s="30">
        <f t="shared" si="114"/>
        <v>-6.3056993027513372E-8</v>
      </c>
      <c r="J431" s="30">
        <f t="shared" ref="J431:J436" si="116">(F431-H431)/H431</f>
        <v>1.6525303746483327E-3</v>
      </c>
      <c r="K431" s="28">
        <f>'[1]Gurobi tests'!F375</f>
        <v>79293.344989350298</v>
      </c>
      <c r="L431" s="32">
        <f>'[1]Gurobi tests'!G375</f>
        <v>3623.76</v>
      </c>
      <c r="M431" s="29">
        <f>'[1]Gurobi tests'!H375/100</f>
        <v>0.20852669931263301</v>
      </c>
      <c r="N431" s="29">
        <f>(C431-K431)/K431</f>
        <v>-6.292268667165148E-8</v>
      </c>
      <c r="O431" s="29">
        <f t="shared" si="115"/>
        <v>-0.99374517076186053</v>
      </c>
      <c r="P431" s="14"/>
      <c r="Q431" s="20"/>
      <c r="R431" s="20"/>
      <c r="S431" s="2"/>
      <c r="T431" s="2"/>
      <c r="U431" s="2"/>
    </row>
    <row r="432" spans="1:21" x14ac:dyDescent="0.2">
      <c r="A432" s="19" t="s">
        <v>121</v>
      </c>
      <c r="B432" s="14">
        <v>2400</v>
      </c>
      <c r="C432" s="28">
        <f>[1]ALNS!Z85</f>
        <v>117750.8</v>
      </c>
      <c r="D432" s="28">
        <f>[1]ALNS!AA85</f>
        <v>117750.8</v>
      </c>
      <c r="E432" s="29">
        <f>[1]ALNS!AD85</f>
        <v>0</v>
      </c>
      <c r="F432" s="28">
        <f>[1]ALNS!AE85</f>
        <v>31.310000000000002</v>
      </c>
      <c r="G432" s="28">
        <f>'[1]PFB tests'!F431</f>
        <v>117750.798749999</v>
      </c>
      <c r="H432" s="28">
        <f>'[1]PFB tests'!G431</f>
        <v>27.731051292008399</v>
      </c>
      <c r="I432" s="30">
        <f t="shared" si="114"/>
        <v>1.0615647779173257E-8</v>
      </c>
      <c r="J432" s="30">
        <f t="shared" si="116"/>
        <v>0.12905925095681439</v>
      </c>
      <c r="K432" s="28">
        <f>'[1]Gurobi tests'!F376</f>
        <v>120336.57354543101</v>
      </c>
      <c r="L432" s="32">
        <f>'[1]Gurobi tests'!G376</f>
        <v>3639.27</v>
      </c>
      <c r="M432" s="29">
        <f>'[1]Gurobi tests'!H376/100</f>
        <v>0.29402909602728999</v>
      </c>
      <c r="N432" s="29">
        <f>(C432-K432)/K432</f>
        <v>-2.1487844212672285E-2</v>
      </c>
      <c r="O432" s="29">
        <f t="shared" si="115"/>
        <v>-0.99139662624647251</v>
      </c>
      <c r="P432" s="14"/>
      <c r="Q432" s="20"/>
      <c r="R432" s="20"/>
      <c r="S432" s="2"/>
      <c r="T432" s="2"/>
      <c r="U432" s="2"/>
    </row>
    <row r="433" spans="1:21" ht="17" x14ac:dyDescent="0.2">
      <c r="A433" s="19" t="s">
        <v>122</v>
      </c>
      <c r="B433" s="14">
        <v>2400</v>
      </c>
      <c r="C433" s="28">
        <f>[1]ALNS!Z86</f>
        <v>133469.84</v>
      </c>
      <c r="D433" s="28">
        <f>[1]ALNS!AA86</f>
        <v>133469.84</v>
      </c>
      <c r="E433" s="29">
        <f>[1]ALNS!AD86</f>
        <v>0</v>
      </c>
      <c r="F433" s="28">
        <f>[1]ALNS!AE86</f>
        <v>76.3</v>
      </c>
      <c r="G433" s="28">
        <f>'[1]PFB tests'!F432</f>
        <v>133976.16749998799</v>
      </c>
      <c r="H433" s="28">
        <f>'[1]PFB tests'!G432</f>
        <v>58.967848375003001</v>
      </c>
      <c r="I433" s="30">
        <f t="shared" si="114"/>
        <v>-3.7792355867176113E-3</v>
      </c>
      <c r="J433" s="30">
        <f t="shared" si="116"/>
        <v>0.29392545433867739</v>
      </c>
      <c r="K433" s="28" t="str">
        <f>'[1]Gurobi tests'!F377</f>
        <v>Infeasible</v>
      </c>
      <c r="L433" s="32">
        <f>'[1]Gurobi tests'!G377</f>
        <v>3690.69</v>
      </c>
      <c r="M433" s="29" t="s">
        <v>32</v>
      </c>
      <c r="N433" s="29" t="s">
        <v>32</v>
      </c>
      <c r="O433" s="29">
        <f t="shared" si="115"/>
        <v>-0.97932635902771559</v>
      </c>
      <c r="P433" s="14"/>
      <c r="Q433" s="20"/>
      <c r="R433" s="20"/>
      <c r="S433" s="2"/>
      <c r="T433" s="2"/>
      <c r="U433" s="2"/>
    </row>
    <row r="434" spans="1:21" ht="17" x14ac:dyDescent="0.2">
      <c r="A434" s="19" t="s">
        <v>123</v>
      </c>
      <c r="B434" s="14">
        <v>2400</v>
      </c>
      <c r="C434" s="28">
        <f>[1]ALNS!Z87</f>
        <v>154446.17399999997</v>
      </c>
      <c r="D434" s="28">
        <f>[1]ALNS!AA87</f>
        <v>154371.43</v>
      </c>
      <c r="E434" s="29">
        <f>[1]ALNS!AD87</f>
        <v>3.5422783230587465E-4</v>
      </c>
      <c r="F434" s="28">
        <f>[1]ALNS!AE87</f>
        <v>87.495999999999995</v>
      </c>
      <c r="G434" s="28">
        <f>'[1]PFB tests'!F433</f>
        <v>154583.93824998799</v>
      </c>
      <c r="H434" s="28">
        <f>'[1]PFB tests'!G433</f>
        <v>230.03201216700799</v>
      </c>
      <c r="I434" s="30">
        <f t="shared" si="114"/>
        <v>-8.9119381707838832E-4</v>
      </c>
      <c r="J434" s="30">
        <f t="shared" si="116"/>
        <v>-0.61963554908837604</v>
      </c>
      <c r="K434" s="28" t="str">
        <f>'[1]Gurobi tests'!F378</f>
        <v>Infeasible</v>
      </c>
      <c r="L434" s="32">
        <f>'[1]Gurobi tests'!G378</f>
        <v>3747.98</v>
      </c>
      <c r="M434" s="29" t="s">
        <v>32</v>
      </c>
      <c r="N434" s="29" t="s">
        <v>32</v>
      </c>
      <c r="O434" s="29">
        <f t="shared" si="115"/>
        <v>-0.97665515824524141</v>
      </c>
      <c r="P434" s="14"/>
      <c r="Q434" s="20"/>
      <c r="R434" s="20"/>
      <c r="S434" s="2"/>
      <c r="T434" s="2"/>
      <c r="U434" s="2"/>
    </row>
    <row r="435" spans="1:21" ht="17" x14ac:dyDescent="0.2">
      <c r="A435" s="19" t="s">
        <v>124</v>
      </c>
      <c r="B435" s="14">
        <v>2400</v>
      </c>
      <c r="C435" s="28">
        <f>[1]ALNS!Z88</f>
        <v>164682.734</v>
      </c>
      <c r="D435" s="28">
        <f>[1]ALNS!AA88</f>
        <v>163986.89000000001</v>
      </c>
      <c r="E435" s="29">
        <f>[1]ALNS!AD88</f>
        <v>5.7858138198115805E-3</v>
      </c>
      <c r="F435" s="28">
        <f>[1]ALNS!AE88</f>
        <v>118.002</v>
      </c>
      <c r="G435" s="28">
        <f>'[1]PFB tests'!F434</f>
        <v>167739.77299999999</v>
      </c>
      <c r="H435" s="28">
        <f>'[1]PFB tests'!G434</f>
        <v>458.206829917005</v>
      </c>
      <c r="I435" s="30">
        <f t="shared" si="114"/>
        <v>-1.8224890527304995E-2</v>
      </c>
      <c r="J435" s="30">
        <f t="shared" si="116"/>
        <v>-0.74247001071246865</v>
      </c>
      <c r="K435" s="58" t="s">
        <v>15</v>
      </c>
      <c r="L435" s="58" t="s">
        <v>32</v>
      </c>
      <c r="M435" s="59" t="s">
        <v>32</v>
      </c>
      <c r="N435" s="59" t="s">
        <v>32</v>
      </c>
      <c r="O435" s="32" t="s">
        <v>32</v>
      </c>
      <c r="P435" s="14"/>
      <c r="Q435" s="20"/>
      <c r="R435" s="20"/>
      <c r="S435" s="2"/>
      <c r="T435" s="2"/>
      <c r="U435" s="2"/>
    </row>
    <row r="436" spans="1:21" ht="17" x14ac:dyDescent="0.2">
      <c r="A436" s="19" t="s">
        <v>125</v>
      </c>
      <c r="B436" s="14">
        <v>2400</v>
      </c>
      <c r="C436" s="28">
        <f>[1]ALNS!Z89</f>
        <v>201592.72800000003</v>
      </c>
      <c r="D436" s="28">
        <f>[1]ALNS!AA89</f>
        <v>201498.54</v>
      </c>
      <c r="E436" s="29">
        <f>[1]ALNS!AD89</f>
        <v>6.1085846411386402E-4</v>
      </c>
      <c r="F436" s="28">
        <f>[1]ALNS!AE89</f>
        <v>120.726</v>
      </c>
      <c r="G436" s="28">
        <f>'[1]PFB tests'!F435</f>
        <v>201506.54974999899</v>
      </c>
      <c r="H436" s="28">
        <f>'[1]PFB tests'!G435</f>
        <v>2556.5171463339898</v>
      </c>
      <c r="I436" s="30">
        <f t="shared" si="114"/>
        <v>4.2766972144559471E-4</v>
      </c>
      <c r="J436" s="30">
        <f t="shared" si="116"/>
        <v>-0.95277716006203228</v>
      </c>
      <c r="K436" s="58" t="s">
        <v>15</v>
      </c>
      <c r="L436" s="58" t="s">
        <v>32</v>
      </c>
      <c r="M436" s="59" t="s">
        <v>32</v>
      </c>
      <c r="N436" s="59" t="s">
        <v>32</v>
      </c>
      <c r="O436" s="32" t="s">
        <v>32</v>
      </c>
      <c r="P436" s="14"/>
      <c r="Q436" s="20"/>
      <c r="R436" s="20"/>
      <c r="S436" s="2"/>
      <c r="T436" s="2"/>
      <c r="U436" s="2"/>
    </row>
    <row r="437" spans="1:21" ht="17" x14ac:dyDescent="0.2">
      <c r="A437" s="19" t="s">
        <v>126</v>
      </c>
      <c r="B437" s="14">
        <v>2400</v>
      </c>
      <c r="C437" s="28">
        <f>[1]ALNS!Z90</f>
        <v>217798.46000000002</v>
      </c>
      <c r="D437" s="28">
        <f>[1]ALNS!AA90</f>
        <v>217798.46</v>
      </c>
      <c r="E437" s="29">
        <f>[1]ALNS!AD90</f>
        <v>1.4939991611255037E-16</v>
      </c>
      <c r="F437" s="28">
        <f>[1]ALNS!AE90</f>
        <v>149.964</v>
      </c>
      <c r="G437" s="28" t="str">
        <f>'[1]PFB tests'!F436</f>
        <v>Infeasible</v>
      </c>
      <c r="H437" s="28" t="str">
        <f>'[1]PFB tests'!G436</f>
        <v>-</v>
      </c>
      <c r="I437" s="32" t="s">
        <v>32</v>
      </c>
      <c r="J437" s="30" t="s">
        <v>32</v>
      </c>
      <c r="K437" s="58" t="s">
        <v>15</v>
      </c>
      <c r="L437" s="58" t="s">
        <v>32</v>
      </c>
      <c r="M437" s="59" t="s">
        <v>32</v>
      </c>
      <c r="N437" s="59" t="s">
        <v>32</v>
      </c>
      <c r="O437" s="32" t="s">
        <v>32</v>
      </c>
      <c r="P437" s="14"/>
      <c r="Q437" s="20"/>
      <c r="R437" s="20"/>
      <c r="S437" s="4"/>
      <c r="T437" s="2"/>
      <c r="U437" s="2"/>
    </row>
    <row r="438" spans="1:21" ht="17" x14ac:dyDescent="0.2">
      <c r="A438" s="19" t="s">
        <v>127</v>
      </c>
      <c r="B438" s="14">
        <v>2400</v>
      </c>
      <c r="C438" s="28">
        <f>[1]ALNS!Z91</f>
        <v>253976.06</v>
      </c>
      <c r="D438" s="28">
        <f>[1]ALNS!AA91</f>
        <v>253976.06</v>
      </c>
      <c r="E438" s="29">
        <f>[1]ALNS!AD91</f>
        <v>0</v>
      </c>
      <c r="F438" s="28">
        <f>[1]ALNS!AE91</f>
        <v>162.09399999999999</v>
      </c>
      <c r="G438" s="58" t="s">
        <v>15</v>
      </c>
      <c r="H438" s="58" t="s">
        <v>32</v>
      </c>
      <c r="I438" s="59" t="s">
        <v>32</v>
      </c>
      <c r="J438" s="59" t="s">
        <v>32</v>
      </c>
      <c r="K438" s="58" t="s">
        <v>15</v>
      </c>
      <c r="L438" s="58" t="s">
        <v>32</v>
      </c>
      <c r="M438" s="59" t="s">
        <v>32</v>
      </c>
      <c r="N438" s="59" t="s">
        <v>32</v>
      </c>
      <c r="O438" s="32" t="s">
        <v>32</v>
      </c>
      <c r="P438" s="14"/>
      <c r="Q438" s="20"/>
      <c r="R438" s="20"/>
      <c r="S438" s="4"/>
      <c r="T438" s="2"/>
      <c r="U438" s="2"/>
    </row>
    <row r="439" spans="1:21" ht="17" x14ac:dyDescent="0.2">
      <c r="A439" s="19" t="s">
        <v>128</v>
      </c>
      <c r="B439" s="14">
        <v>2400</v>
      </c>
      <c r="C439" s="28">
        <f>[1]ALNS!Z92</f>
        <v>288331.75199999998</v>
      </c>
      <c r="D439" s="28">
        <f>[1]ALNS!AA92</f>
        <v>288242.88</v>
      </c>
      <c r="E439" s="29">
        <f>[1]ALNS!AD92</f>
        <v>6.8921938675819202E-4</v>
      </c>
      <c r="F439" s="28">
        <f>[1]ALNS!AE92</f>
        <v>146.14600000000002</v>
      </c>
      <c r="G439" s="58" t="s">
        <v>15</v>
      </c>
      <c r="H439" s="58" t="s">
        <v>32</v>
      </c>
      <c r="I439" s="59" t="s">
        <v>32</v>
      </c>
      <c r="J439" s="59" t="s">
        <v>32</v>
      </c>
      <c r="K439" s="58" t="s">
        <v>15</v>
      </c>
      <c r="L439" s="58" t="s">
        <v>32</v>
      </c>
      <c r="M439" s="59" t="s">
        <v>32</v>
      </c>
      <c r="N439" s="59" t="s">
        <v>32</v>
      </c>
      <c r="O439" s="32" t="s">
        <v>32</v>
      </c>
      <c r="P439" s="14"/>
      <c r="Q439" s="20"/>
      <c r="R439" s="20"/>
      <c r="S439" s="4"/>
      <c r="T439" s="2"/>
      <c r="U439" s="2"/>
    </row>
    <row r="440" spans="1:21" x14ac:dyDescent="0.2">
      <c r="A440" s="19"/>
      <c r="B440" s="14"/>
      <c r="C440" s="28"/>
      <c r="D440" s="28"/>
      <c r="E440" s="29"/>
      <c r="F440" s="28"/>
      <c r="G440" s="28"/>
      <c r="H440" s="32"/>
      <c r="I440" s="32"/>
      <c r="J440" s="32"/>
      <c r="K440" s="28"/>
      <c r="L440" s="32"/>
      <c r="M440" s="32"/>
      <c r="N440" s="32"/>
      <c r="O440" s="32"/>
      <c r="P440" s="14"/>
      <c r="Q440" s="20"/>
      <c r="R440" s="20"/>
      <c r="S440" s="2"/>
      <c r="T440" s="2"/>
      <c r="U440" s="2"/>
    </row>
    <row r="441" spans="1:21" x14ac:dyDescent="0.2">
      <c r="A441" s="19" t="s">
        <v>129</v>
      </c>
      <c r="B441" s="14">
        <v>2400</v>
      </c>
      <c r="C441" s="28">
        <f>[1]ALNS!Z94</f>
        <v>54855.06</v>
      </c>
      <c r="D441" s="28">
        <f>[1]ALNS!AA94</f>
        <v>54855.06</v>
      </c>
      <c r="E441" s="29">
        <f>[1]ALNS!AD94</f>
        <v>0</v>
      </c>
      <c r="F441" s="28">
        <f>[1]ALNS!AE94</f>
        <v>15.351999999999999</v>
      </c>
      <c r="G441" s="28">
        <f>'[1]PFB tests'!F440</f>
        <v>54855.058949999999</v>
      </c>
      <c r="H441" s="28">
        <f>'[1]PFB tests'!G440</f>
        <v>21.1743581660266</v>
      </c>
      <c r="I441" s="30">
        <f t="shared" ref="I441:I447" si="117">(C441-G441)/G441</f>
        <v>1.9141352120279157E-8</v>
      </c>
      <c r="J441" s="30">
        <f>(F441-H441)/H441</f>
        <v>-0.27497212054192693</v>
      </c>
      <c r="K441" s="28">
        <f>'[1]Gurobi tests'!F385</f>
        <v>54855.058949999897</v>
      </c>
      <c r="L441" s="32">
        <f>'[1]Gurobi tests'!G385</f>
        <v>24.42</v>
      </c>
      <c r="M441" s="29">
        <f>'[1]Gurobi tests'!H385/100</f>
        <v>0</v>
      </c>
      <c r="N441" s="29">
        <f>(C441-K441)/K441</f>
        <v>1.9141353977234748E-8</v>
      </c>
      <c r="O441" s="29">
        <f t="shared" ref="O441:O443" si="118">(F441-L441)/L441</f>
        <v>-0.37133497133497145</v>
      </c>
      <c r="P441" s="14"/>
      <c r="Q441" s="20"/>
      <c r="R441" s="20"/>
      <c r="S441" s="2"/>
      <c r="T441" s="2"/>
      <c r="U441" s="2"/>
    </row>
    <row r="442" spans="1:21" x14ac:dyDescent="0.2">
      <c r="A442" s="19" t="s">
        <v>130</v>
      </c>
      <c r="B442" s="14">
        <v>2400</v>
      </c>
      <c r="C442" s="28">
        <f>[1]ALNS!Z95</f>
        <v>103388.95</v>
      </c>
      <c r="D442" s="28">
        <f>[1]ALNS!AA95</f>
        <v>103388.95</v>
      </c>
      <c r="E442" s="29">
        <f>[1]ALNS!AD95</f>
        <v>0</v>
      </c>
      <c r="F442" s="28">
        <f>[1]ALNS!AE95</f>
        <v>28.089999999999996</v>
      </c>
      <c r="G442" s="28">
        <f>'[1]PFB tests'!F441</f>
        <v>103388.947699999</v>
      </c>
      <c r="H442" s="28">
        <f>'[1]PFB tests'!G441</f>
        <v>25.772834041999801</v>
      </c>
      <c r="I442" s="30">
        <f t="shared" si="117"/>
        <v>2.2246101233033337E-8</v>
      </c>
      <c r="J442" s="30">
        <f t="shared" ref="J442:J447" si="119">(F442-H442)/H442</f>
        <v>8.990730139433277E-2</v>
      </c>
      <c r="K442" s="28">
        <f>'[1]Gurobi tests'!F386</f>
        <v>103388.947459125</v>
      </c>
      <c r="L442" s="32">
        <f>'[1]Gurobi tests'!G386</f>
        <v>3624.25</v>
      </c>
      <c r="M442" s="29">
        <f>'[1]Gurobi tests'!H386/100</f>
        <v>0.28153336097404902</v>
      </c>
      <c r="N442" s="29">
        <f>(C442-K442)/K442</f>
        <v>2.457588606783261E-8</v>
      </c>
      <c r="O442" s="29">
        <f t="shared" si="118"/>
        <v>-0.99224943091674134</v>
      </c>
      <c r="P442" s="14"/>
      <c r="Q442" s="20"/>
      <c r="R442" s="20"/>
      <c r="S442" s="2"/>
      <c r="T442" s="2"/>
      <c r="U442" s="2"/>
    </row>
    <row r="443" spans="1:21" x14ac:dyDescent="0.2">
      <c r="A443" s="19" t="s">
        <v>131</v>
      </c>
      <c r="B443" s="14">
        <v>2400</v>
      </c>
      <c r="C443" s="28">
        <f>[1]ALNS!Z96</f>
        <v>139888.28</v>
      </c>
      <c r="D443" s="28">
        <f>[1]ALNS!AA96</f>
        <v>139888.28</v>
      </c>
      <c r="E443" s="29">
        <f>[1]ALNS!AD96</f>
        <v>0</v>
      </c>
      <c r="F443" s="28">
        <f>[1]ALNS!AE96</f>
        <v>38.481999999999999</v>
      </c>
      <c r="G443" s="28">
        <f>'[1]PFB tests'!F442</f>
        <v>139888.28015000001</v>
      </c>
      <c r="H443" s="28">
        <f>'[1]PFB tests'!G442</f>
        <v>28.2918351249827</v>
      </c>
      <c r="I443" s="30">
        <f t="shared" si="117"/>
        <v>-1.0722843040444492E-9</v>
      </c>
      <c r="J443" s="30">
        <f t="shared" si="119"/>
        <v>0.36018041353630748</v>
      </c>
      <c r="K443" s="28">
        <f>'[1]Gurobi tests'!F387</f>
        <v>159983.59136307499</v>
      </c>
      <c r="L443" s="32">
        <f>'[1]Gurobi tests'!G387</f>
        <v>3637.26</v>
      </c>
      <c r="M443" s="29">
        <f>'[1]Gurobi tests'!H387/100</f>
        <v>0.34061092953854599</v>
      </c>
      <c r="N443" s="29">
        <f>(C443-K443)/K443</f>
        <v>-0.12560857767887992</v>
      </c>
      <c r="O443" s="29">
        <f t="shared" si="118"/>
        <v>-0.98942005795571397</v>
      </c>
      <c r="P443" s="14"/>
      <c r="Q443" s="20"/>
      <c r="R443" s="20"/>
      <c r="S443" s="2"/>
      <c r="T443" s="2"/>
      <c r="U443" s="2"/>
    </row>
    <row r="444" spans="1:21" ht="17" x14ac:dyDescent="0.2">
      <c r="A444" s="19" t="s">
        <v>210</v>
      </c>
      <c r="B444" s="14">
        <v>2400</v>
      </c>
      <c r="C444" s="28">
        <f>[1]ALNS!Z97</f>
        <v>159701.81</v>
      </c>
      <c r="D444" s="28">
        <f>[1]ALNS!AA97</f>
        <v>159701.81</v>
      </c>
      <c r="E444" s="29">
        <f>[1]ALNS!AD97</f>
        <v>0</v>
      </c>
      <c r="F444" s="28">
        <f>[1]ALNS!AE97</f>
        <v>253.92599999999999</v>
      </c>
      <c r="G444" s="28">
        <f>'[1]PFB tests'!F443</f>
        <v>167896.38719999901</v>
      </c>
      <c r="H444" s="28">
        <f>'[1]PFB tests'!G443</f>
        <v>89.095633666991404</v>
      </c>
      <c r="I444" s="30">
        <f t="shared" si="117"/>
        <v>-4.8807346820617346E-2</v>
      </c>
      <c r="J444" s="30">
        <f t="shared" si="119"/>
        <v>1.8500386556437476</v>
      </c>
      <c r="K444" s="28" t="str">
        <f>'[1]Gurobi tests'!F388</f>
        <v>Infeasible</v>
      </c>
      <c r="L444" s="32">
        <f>'[1]Gurobi tests'!G388</f>
        <v>3693.23</v>
      </c>
      <c r="M444" s="29" t="s">
        <v>32</v>
      </c>
      <c r="N444" s="29" t="s">
        <v>32</v>
      </c>
      <c r="O444" s="29">
        <f>(F444-L444)/L444</f>
        <v>-0.93124554928883396</v>
      </c>
      <c r="P444" s="14"/>
      <c r="Q444" s="20"/>
      <c r="R444" s="20"/>
      <c r="S444" s="2"/>
      <c r="T444" s="2"/>
      <c r="U444" s="2"/>
    </row>
    <row r="445" spans="1:21" ht="17" x14ac:dyDescent="0.2">
      <c r="A445" s="19" t="s">
        <v>133</v>
      </c>
      <c r="B445" s="14">
        <v>2400</v>
      </c>
      <c r="C445" s="28">
        <f>[1]ALNS!Z98</f>
        <v>185924.83</v>
      </c>
      <c r="D445" s="28">
        <f>[1]ALNS!AA98</f>
        <v>185924.83</v>
      </c>
      <c r="E445" s="29">
        <f>[1]ALNS!AD98</f>
        <v>0</v>
      </c>
      <c r="F445" s="28">
        <f>[1]ALNS!AE98</f>
        <v>435.834</v>
      </c>
      <c r="G445" s="28">
        <f>'[1]PFB tests'!F444</f>
        <v>193915.68379999901</v>
      </c>
      <c r="H445" s="28">
        <f>'[1]PFB tests'!G444</f>
        <v>267.98170508298699</v>
      </c>
      <c r="I445" s="30">
        <f t="shared" si="117"/>
        <v>-4.1207877792085339E-2</v>
      </c>
      <c r="J445" s="30">
        <f t="shared" si="119"/>
        <v>0.62635729131223161</v>
      </c>
      <c r="K445" s="28" t="str">
        <f>'[1]Gurobi tests'!F389</f>
        <v>Infeasible</v>
      </c>
      <c r="L445" s="32">
        <f>'[1]Gurobi tests'!G389</f>
        <v>3747.86</v>
      </c>
      <c r="M445" s="29" t="s">
        <v>32</v>
      </c>
      <c r="N445" s="29" t="s">
        <v>32</v>
      </c>
      <c r="O445" s="29">
        <f>(F445-L445)/L445</f>
        <v>-0.88371123787975014</v>
      </c>
      <c r="P445" s="14"/>
      <c r="Q445" s="20"/>
      <c r="R445" s="20"/>
      <c r="S445" s="2"/>
      <c r="T445" s="2"/>
      <c r="U445" s="2"/>
    </row>
    <row r="446" spans="1:21" ht="17" x14ac:dyDescent="0.2">
      <c r="A446" s="19" t="s">
        <v>211</v>
      </c>
      <c r="B446" s="14">
        <v>2400</v>
      </c>
      <c r="C446" s="28">
        <f>[1]ALNS!Z99</f>
        <v>203001.9</v>
      </c>
      <c r="D446" s="28">
        <f>[1]ALNS!AA99</f>
        <v>202917.91</v>
      </c>
      <c r="E446" s="29">
        <f>[1]ALNS!AD99</f>
        <v>5.9366791105486326E-4</v>
      </c>
      <c r="F446" s="28">
        <f>[1]ALNS!AE99</f>
        <v>1063.944</v>
      </c>
      <c r="G446" s="28">
        <f>'[1]PFB tests'!F445</f>
        <v>210587.12590000001</v>
      </c>
      <c r="H446" s="28">
        <f>'[1]PFB tests'!G445</f>
        <v>449.47010608401598</v>
      </c>
      <c r="I446" s="30">
        <f t="shared" si="117"/>
        <v>-3.6019418886992935E-2</v>
      </c>
      <c r="J446" s="30">
        <f t="shared" si="119"/>
        <v>1.3671073684289143</v>
      </c>
      <c r="K446" s="58" t="s">
        <v>15</v>
      </c>
      <c r="L446" s="58" t="s">
        <v>32</v>
      </c>
      <c r="M446" s="59" t="s">
        <v>32</v>
      </c>
      <c r="N446" s="59" t="s">
        <v>32</v>
      </c>
      <c r="O446" s="29" t="s">
        <v>32</v>
      </c>
      <c r="P446" s="14"/>
      <c r="Q446" s="20"/>
      <c r="R446" s="20"/>
      <c r="S446" s="2"/>
      <c r="T446" s="2"/>
      <c r="U446" s="2"/>
    </row>
    <row r="447" spans="1:21" ht="17" x14ac:dyDescent="0.2">
      <c r="A447" s="19" t="s">
        <v>135</v>
      </c>
      <c r="B447" s="14">
        <v>2400</v>
      </c>
      <c r="C447" s="28">
        <f>[1]ALNS!Z100</f>
        <v>234385.56599999996</v>
      </c>
      <c r="D447" s="28">
        <f>[1]ALNS!AA100</f>
        <v>233881.06</v>
      </c>
      <c r="E447" s="29">
        <f>[1]ALNS!AD100</f>
        <v>1.5911566069017633E-3</v>
      </c>
      <c r="F447" s="28">
        <f>[1]ALNS!AE100</f>
        <v>367.62</v>
      </c>
      <c r="G447" s="28">
        <f>'[1]PFB tests'!F446</f>
        <v>234140.21004999999</v>
      </c>
      <c r="H447" s="28">
        <f>'[1]PFB tests'!G446</f>
        <v>2061.485062833</v>
      </c>
      <c r="I447" s="30">
        <f t="shared" si="117"/>
        <v>1.0479018104048562E-3</v>
      </c>
      <c r="J447" s="30">
        <f t="shared" si="119"/>
        <v>-0.82167224656248672</v>
      </c>
      <c r="K447" s="58" t="s">
        <v>15</v>
      </c>
      <c r="L447" s="58" t="s">
        <v>32</v>
      </c>
      <c r="M447" s="59" t="s">
        <v>32</v>
      </c>
      <c r="N447" s="59" t="s">
        <v>32</v>
      </c>
      <c r="O447" s="29" t="s">
        <v>32</v>
      </c>
      <c r="P447" s="14"/>
      <c r="Q447" s="20"/>
      <c r="R447" s="20"/>
      <c r="S447" s="2"/>
      <c r="T447" s="2"/>
      <c r="U447" s="2"/>
    </row>
    <row r="448" spans="1:21" ht="17" x14ac:dyDescent="0.2">
      <c r="A448" s="19" t="s">
        <v>212</v>
      </c>
      <c r="B448" s="14">
        <v>2400</v>
      </c>
      <c r="C448" s="28">
        <f>[1]ALNS!Z101</f>
        <v>251990.68199999997</v>
      </c>
      <c r="D448" s="28">
        <f>[1]ALNS!AA101</f>
        <v>251977.93</v>
      </c>
      <c r="E448" s="29">
        <f>[1]ALNS!AD101</f>
        <v>2.8289080594933948E-5</v>
      </c>
      <c r="F448" s="28">
        <f>[1]ALNS!AE101</f>
        <v>486.79400000000004</v>
      </c>
      <c r="G448" s="28" t="str">
        <f>'[1]PFB tests'!F447</f>
        <v>Infeasible</v>
      </c>
      <c r="H448" s="28" t="str">
        <f>'[1]PFB tests'!G447</f>
        <v>-</v>
      </c>
      <c r="I448" s="32" t="s">
        <v>32</v>
      </c>
      <c r="J448" s="30" t="s">
        <v>32</v>
      </c>
      <c r="K448" s="58" t="s">
        <v>15</v>
      </c>
      <c r="L448" s="58" t="s">
        <v>32</v>
      </c>
      <c r="M448" s="59" t="s">
        <v>32</v>
      </c>
      <c r="N448" s="59" t="s">
        <v>32</v>
      </c>
      <c r="O448" s="32" t="s">
        <v>32</v>
      </c>
      <c r="P448" s="14"/>
      <c r="Q448" s="20"/>
      <c r="R448" s="20"/>
      <c r="S448" s="4"/>
      <c r="T448" s="2"/>
      <c r="U448" s="2"/>
    </row>
    <row r="449" spans="1:21" ht="17" x14ac:dyDescent="0.2">
      <c r="A449" s="19" t="s">
        <v>213</v>
      </c>
      <c r="B449" s="14">
        <v>2400</v>
      </c>
      <c r="C449" s="28">
        <f>[1]ALNS!Z102</f>
        <v>303279.03399999999</v>
      </c>
      <c r="D449" s="28">
        <f>[1]ALNS!AA102</f>
        <v>302087.73</v>
      </c>
      <c r="E449" s="29">
        <f>[1]ALNS!AD102</f>
        <v>4.2309836783022093E-3</v>
      </c>
      <c r="F449" s="28">
        <f>[1]ALNS!AE102</f>
        <v>567.66200000000003</v>
      </c>
      <c r="G449" s="58" t="s">
        <v>15</v>
      </c>
      <c r="H449" s="58" t="s">
        <v>32</v>
      </c>
      <c r="I449" s="59" t="s">
        <v>32</v>
      </c>
      <c r="J449" s="59" t="s">
        <v>32</v>
      </c>
      <c r="K449" s="58" t="s">
        <v>15</v>
      </c>
      <c r="L449" s="58" t="s">
        <v>32</v>
      </c>
      <c r="M449" s="59" t="s">
        <v>32</v>
      </c>
      <c r="N449" s="59" t="s">
        <v>32</v>
      </c>
      <c r="O449" s="32" t="s">
        <v>32</v>
      </c>
      <c r="P449" s="14"/>
      <c r="Q449" s="20"/>
      <c r="R449" s="20"/>
      <c r="S449" s="4"/>
      <c r="T449" s="2"/>
      <c r="U449" s="2"/>
    </row>
    <row r="450" spans="1:21" ht="17" x14ac:dyDescent="0.2">
      <c r="A450" s="19" t="s">
        <v>138</v>
      </c>
      <c r="B450" s="14">
        <v>2400</v>
      </c>
      <c r="C450" s="28">
        <f>[1]ALNS!Z103</f>
        <v>337751.48199999996</v>
      </c>
      <c r="D450" s="28">
        <f>[1]ALNS!AA103</f>
        <v>337113.63</v>
      </c>
      <c r="E450" s="29">
        <f>[1]ALNS!AD103</f>
        <v>1.5505657585436314E-3</v>
      </c>
      <c r="F450" s="28">
        <f>[1]ALNS!AE103</f>
        <v>342.78999999999996</v>
      </c>
      <c r="G450" s="58" t="s">
        <v>15</v>
      </c>
      <c r="H450" s="58" t="s">
        <v>32</v>
      </c>
      <c r="I450" s="59" t="s">
        <v>32</v>
      </c>
      <c r="J450" s="59" t="s">
        <v>32</v>
      </c>
      <c r="K450" s="58" t="s">
        <v>15</v>
      </c>
      <c r="L450" s="58" t="s">
        <v>32</v>
      </c>
      <c r="M450" s="59" t="s">
        <v>32</v>
      </c>
      <c r="N450" s="59" t="s">
        <v>32</v>
      </c>
      <c r="O450" s="32" t="s">
        <v>32</v>
      </c>
      <c r="P450" s="14"/>
      <c r="Q450" s="20"/>
      <c r="R450" s="20"/>
      <c r="S450" s="4"/>
      <c r="T450" s="2"/>
      <c r="U450" s="2"/>
    </row>
    <row r="451" spans="1:21" x14ac:dyDescent="0.2">
      <c r="A451" s="14"/>
      <c r="B451" s="14"/>
      <c r="C451" s="32"/>
      <c r="D451" s="32"/>
      <c r="E451" s="32"/>
      <c r="F451" s="32"/>
      <c r="G451" s="32"/>
      <c r="H451" s="32"/>
      <c r="I451" s="30"/>
      <c r="J451" s="30"/>
      <c r="K451" s="32"/>
      <c r="L451" s="32"/>
      <c r="M451" s="31"/>
      <c r="N451" s="30"/>
      <c r="O451" s="30"/>
      <c r="P451" s="30"/>
      <c r="Q451" s="20"/>
      <c r="R451" s="20"/>
      <c r="S451" s="21"/>
      <c r="T451" s="21"/>
      <c r="U451" s="21"/>
    </row>
    <row r="452" spans="1:21" x14ac:dyDescent="0.2">
      <c r="A452" s="19" t="s">
        <v>139</v>
      </c>
      <c r="B452" s="14">
        <v>2400</v>
      </c>
      <c r="C452" s="28">
        <f>[1]ALNS!Z105</f>
        <v>55719.199999999997</v>
      </c>
      <c r="D452" s="28">
        <f>[1]ALNS!AA105</f>
        <v>55719.199999999997</v>
      </c>
      <c r="E452" s="29">
        <f>[1]ALNS!AD105</f>
        <v>0</v>
      </c>
      <c r="F452" s="28">
        <f>[1]ALNS!AE105</f>
        <v>15.142000000000001</v>
      </c>
      <c r="G452" s="28">
        <f>'[1]PFB tests'!F451</f>
        <v>55719.228055</v>
      </c>
      <c r="H452" s="28">
        <f>'[1]PFB tests'!G451</f>
        <v>16.6174197090149</v>
      </c>
      <c r="I452" s="30">
        <f t="shared" ref="I452:I458" si="120">(C452-G452)/G452</f>
        <v>-5.0350661668900147E-7</v>
      </c>
      <c r="J452" s="30">
        <f>(F452-H452)/H452</f>
        <v>-8.8787533495015961E-2</v>
      </c>
      <c r="K452" s="28">
        <f>'[1]Gurobi tests'!F396</f>
        <v>55719.227999999901</v>
      </c>
      <c r="L452" s="32">
        <f>'[1]Gurobi tests'!G396</f>
        <v>62.56</v>
      </c>
      <c r="M452" s="29">
        <f>'[1]Gurobi tests'!H396/100</f>
        <v>0</v>
      </c>
      <c r="N452" s="29">
        <f t="shared" ref="N452:N458" si="121">(C452-K452)/K452</f>
        <v>-5.0251952349090328E-7</v>
      </c>
      <c r="O452" s="29">
        <f t="shared" ref="O452:O457" si="122">(F452-L452)/L452</f>
        <v>-0.75796035805626594</v>
      </c>
      <c r="P452" s="14"/>
      <c r="Q452" s="20"/>
      <c r="R452" s="20"/>
      <c r="S452" s="2"/>
      <c r="T452" s="2"/>
      <c r="U452" s="2"/>
    </row>
    <row r="453" spans="1:21" x14ac:dyDescent="0.2">
      <c r="A453" s="19" t="s">
        <v>237</v>
      </c>
      <c r="B453" s="14">
        <v>2400</v>
      </c>
      <c r="C453" s="28">
        <f>[1]ALNS!Z106</f>
        <v>68436.31</v>
      </c>
      <c r="D453" s="28">
        <f>[1]ALNS!AA106</f>
        <v>68436.31</v>
      </c>
      <c r="E453" s="29">
        <f>[1]ALNS!AD106</f>
        <v>0</v>
      </c>
      <c r="F453" s="28">
        <f>[1]ALNS!AE106</f>
        <v>22.148000000000003</v>
      </c>
      <c r="G453" s="28">
        <f>'[1]PFB tests'!F452</f>
        <v>68436.335999999996</v>
      </c>
      <c r="H453" s="28">
        <f>'[1]PFB tests'!G452</f>
        <v>23.198062374984101</v>
      </c>
      <c r="I453" s="30">
        <f t="shared" si="120"/>
        <v>-3.799151374500958E-7</v>
      </c>
      <c r="J453" s="30">
        <f t="shared" ref="J453:J458" si="123">(F453-H453)/H453</f>
        <v>-4.526508973078909E-2</v>
      </c>
      <c r="K453" s="28">
        <f>'[1]Gurobi tests'!F397</f>
        <v>68436.335814999897</v>
      </c>
      <c r="L453" s="32">
        <f>'[1]Gurobi tests'!G397</f>
        <v>175.33</v>
      </c>
      <c r="M453" s="29">
        <f>'[1]Gurobi tests'!H397/100</f>
        <v>0</v>
      </c>
      <c r="N453" s="29">
        <f t="shared" si="121"/>
        <v>-3.7721189469869161E-7</v>
      </c>
      <c r="O453" s="29">
        <f t="shared" si="122"/>
        <v>-0.8736782068100154</v>
      </c>
      <c r="P453" s="14"/>
      <c r="Q453" s="20"/>
      <c r="R453" s="20"/>
      <c r="S453" s="2"/>
      <c r="T453" s="2"/>
      <c r="U453" s="2"/>
    </row>
    <row r="454" spans="1:21" x14ac:dyDescent="0.2">
      <c r="A454" s="19" t="s">
        <v>238</v>
      </c>
      <c r="B454" s="14">
        <v>2400</v>
      </c>
      <c r="C454" s="28">
        <f>[1]ALNS!Z107</f>
        <v>107375.82000000002</v>
      </c>
      <c r="D454" s="28">
        <f>[1]ALNS!AA107</f>
        <v>107375.82</v>
      </c>
      <c r="E454" s="29">
        <f>[1]ALNS!AD107</f>
        <v>1.5151954906347935E-16</v>
      </c>
      <c r="F454" s="28">
        <f>[1]ALNS!AE107</f>
        <v>31.066000000000003</v>
      </c>
      <c r="G454" s="28">
        <f>'[1]PFB tests'!F453</f>
        <v>107375.820109999</v>
      </c>
      <c r="H454" s="28">
        <f>'[1]PFB tests'!G453</f>
        <v>28.910651582991701</v>
      </c>
      <c r="I454" s="30">
        <f t="shared" si="120"/>
        <v>-1.0244296605738167E-9</v>
      </c>
      <c r="J454" s="30">
        <f t="shared" si="123"/>
        <v>7.4552052582457368E-2</v>
      </c>
      <c r="K454" s="28">
        <f>'[1]Gurobi tests'!F398</f>
        <v>107375.81709681801</v>
      </c>
      <c r="L454" s="32">
        <f>'[1]Gurobi tests'!G398</f>
        <v>3648.59</v>
      </c>
      <c r="M454" s="29">
        <f>'[1]Gurobi tests'!H398/100</f>
        <v>3.0651575037913398E-2</v>
      </c>
      <c r="N454" s="29">
        <f t="shared" si="121"/>
        <v>2.7037577867770482E-8</v>
      </c>
      <c r="O454" s="29">
        <f t="shared" si="122"/>
        <v>-0.99148547795175679</v>
      </c>
      <c r="P454" s="14"/>
      <c r="Q454" s="20"/>
      <c r="R454" s="20"/>
      <c r="S454" s="2"/>
      <c r="T454" s="2"/>
      <c r="U454" s="2"/>
    </row>
    <row r="455" spans="1:21" x14ac:dyDescent="0.2">
      <c r="A455" s="19" t="s">
        <v>239</v>
      </c>
      <c r="B455" s="14">
        <v>2400</v>
      </c>
      <c r="C455" s="28">
        <f>[1]ALNS!Z108</f>
        <v>134497.57</v>
      </c>
      <c r="D455" s="28">
        <f>[1]ALNS!AA108</f>
        <v>134497.57</v>
      </c>
      <c r="E455" s="29">
        <f>[1]ALNS!AD108</f>
        <v>0</v>
      </c>
      <c r="F455" s="28">
        <f>[1]ALNS!AE108</f>
        <v>40.911999999999999</v>
      </c>
      <c r="G455" s="28">
        <f>'[1]PFB tests'!F454</f>
        <v>127845.888054999</v>
      </c>
      <c r="H455" s="28">
        <f>'[1]PFB tests'!G454</f>
        <v>36.902154792012801</v>
      </c>
      <c r="I455" s="37">
        <f t="shared" si="120"/>
        <v>5.2028907978170329E-2</v>
      </c>
      <c r="J455" s="30">
        <f t="shared" si="123"/>
        <v>0.10866154647573856</v>
      </c>
      <c r="K455" s="28">
        <f>'[1]Gurobi tests'!F399</f>
        <v>131302.068099992</v>
      </c>
      <c r="L455" s="32">
        <f>'[1]Gurobi tests'!G399</f>
        <v>3700.98</v>
      </c>
      <c r="M455" s="29">
        <f>'[1]Gurobi tests'!H399/100</f>
        <v>0.147759943013372</v>
      </c>
      <c r="N455" s="29">
        <f t="shared" si="121"/>
        <v>2.4337026417394266E-2</v>
      </c>
      <c r="O455" s="29">
        <f t="shared" si="122"/>
        <v>-0.98894563061675567</v>
      </c>
      <c r="P455" s="14"/>
      <c r="Q455" s="20"/>
      <c r="R455" s="20"/>
      <c r="S455" s="2"/>
      <c r="T455" s="2"/>
      <c r="U455" s="2"/>
    </row>
    <row r="456" spans="1:21" x14ac:dyDescent="0.2">
      <c r="A456" s="19" t="s">
        <v>143</v>
      </c>
      <c r="B456" s="14">
        <v>2400</v>
      </c>
      <c r="C456" s="28">
        <f>[1]ALNS!Z109</f>
        <v>142512.20000000001</v>
      </c>
      <c r="D456" s="28">
        <f>[1]ALNS!AA109</f>
        <v>142512.20000000001</v>
      </c>
      <c r="E456" s="29">
        <f>[1]ALNS!AD109</f>
        <v>0</v>
      </c>
      <c r="F456" s="28">
        <f>[1]ALNS!AE109</f>
        <v>49.637999999999998</v>
      </c>
      <c r="G456" s="28">
        <f>'[1]PFB tests'!F455</f>
        <v>142512.22810999901</v>
      </c>
      <c r="H456" s="28">
        <f>'[1]PFB tests'!G455</f>
        <v>62.7582841659896</v>
      </c>
      <c r="I456" s="30">
        <f t="shared" si="120"/>
        <v>-1.972462248889162E-7</v>
      </c>
      <c r="J456" s="30">
        <f t="shared" si="123"/>
        <v>-0.20906059399724375</v>
      </c>
      <c r="K456" s="28">
        <f>'[1]Gurobi tests'!F400</f>
        <v>144725.724165002</v>
      </c>
      <c r="L456" s="32">
        <f>'[1]Gurobi tests'!G400</f>
        <v>3727.77</v>
      </c>
      <c r="M456" s="29">
        <f>'[1]Gurobi tests'!H400/100</f>
        <v>0.21494670687952902</v>
      </c>
      <c r="N456" s="29">
        <f t="shared" si="121"/>
        <v>-1.5294614539142654E-2</v>
      </c>
      <c r="O456" s="29">
        <f t="shared" si="122"/>
        <v>-0.98668426431888234</v>
      </c>
      <c r="P456" s="14"/>
      <c r="Q456" s="20"/>
      <c r="R456" s="20"/>
      <c r="S456" s="2"/>
      <c r="T456" s="2"/>
      <c r="U456" s="2"/>
    </row>
    <row r="457" spans="1:21" x14ac:dyDescent="0.2">
      <c r="A457" s="19" t="s">
        <v>144</v>
      </c>
      <c r="B457" s="14">
        <v>2400</v>
      </c>
      <c r="C457" s="28">
        <f>[1]ALNS!Z110</f>
        <v>148294</v>
      </c>
      <c r="D457" s="28">
        <f>[1]ALNS!AA110</f>
        <v>148294</v>
      </c>
      <c r="E457" s="29">
        <f>[1]ALNS!AD110</f>
        <v>0</v>
      </c>
      <c r="F457" s="28">
        <f>[1]ALNS!AE110</f>
        <v>78.62</v>
      </c>
      <c r="G457" s="28">
        <f>'[1]PFB tests'!F456</f>
        <v>148294.02010999899</v>
      </c>
      <c r="H457" s="28">
        <f>'[1]PFB tests'!G456</f>
        <v>346.01938270800702</v>
      </c>
      <c r="I457" s="30">
        <f t="shared" si="120"/>
        <v>-1.356089677699662E-7</v>
      </c>
      <c r="J457" s="30">
        <f t="shared" si="123"/>
        <v>-0.77278729479052188</v>
      </c>
      <c r="K457" s="28">
        <f>'[1]Gurobi tests'!F401</f>
        <v>150380.833463722</v>
      </c>
      <c r="L457" s="32">
        <f>'[1]Gurobi tests'!G401</f>
        <v>3799.68</v>
      </c>
      <c r="M457" s="29">
        <f>'[1]Gurobi tests'!H401/100</f>
        <v>0.20357934698413299</v>
      </c>
      <c r="N457" s="29">
        <f t="shared" si="121"/>
        <v>-1.3876990941305199E-2</v>
      </c>
      <c r="O457" s="29">
        <f t="shared" si="122"/>
        <v>-0.97930878389759135</v>
      </c>
      <c r="P457" s="14"/>
      <c r="Q457" s="20"/>
      <c r="R457" s="20"/>
      <c r="S457" s="2"/>
      <c r="T457" s="2"/>
      <c r="U457" s="2"/>
    </row>
    <row r="458" spans="1:21" x14ac:dyDescent="0.2">
      <c r="A458" s="19" t="s">
        <v>240</v>
      </c>
      <c r="B458" s="14">
        <v>2400</v>
      </c>
      <c r="C458" s="28">
        <f>[1]ALNS!Z111</f>
        <v>180312.02</v>
      </c>
      <c r="D458" s="28">
        <f>[1]ALNS!AA111</f>
        <v>180312.02</v>
      </c>
      <c r="E458" s="29">
        <f>[1]ALNS!AD111</f>
        <v>0</v>
      </c>
      <c r="F458" s="28">
        <f>[1]ALNS!AE111</f>
        <v>96.768000000000001</v>
      </c>
      <c r="G458" s="28">
        <f>'[1]PFB tests'!F457</f>
        <v>180286.28422</v>
      </c>
      <c r="H458" s="28">
        <f>'[1]PFB tests'!G457</f>
        <v>853.43342241601204</v>
      </c>
      <c r="I458" s="30">
        <f t="shared" si="120"/>
        <v>1.4274951703249517E-4</v>
      </c>
      <c r="J458" s="30">
        <f t="shared" si="123"/>
        <v>-0.88661329934084798</v>
      </c>
      <c r="K458" s="28">
        <f>'[1]Gurobi tests'!F402</f>
        <v>185243.09994327</v>
      </c>
      <c r="L458" s="32">
        <f>'[1]Gurobi tests'!G402</f>
        <v>3894.48</v>
      </c>
      <c r="M458" s="29">
        <f>'[1]Gurobi tests'!H402/100</f>
        <v>0.25417251031141697</v>
      </c>
      <c r="N458" s="29">
        <f t="shared" si="121"/>
        <v>-2.6619506717281992E-2</v>
      </c>
      <c r="O458" s="29">
        <f>(F458-L458)/L458</f>
        <v>-0.97515252357182469</v>
      </c>
      <c r="P458" s="14"/>
      <c r="Q458" s="20"/>
      <c r="R458" s="20"/>
      <c r="S458" s="2"/>
      <c r="T458" s="2"/>
      <c r="U458" s="2"/>
    </row>
    <row r="459" spans="1:21" ht="17" x14ac:dyDescent="0.2">
      <c r="A459" s="19" t="s">
        <v>146</v>
      </c>
      <c r="B459" s="14">
        <v>2400</v>
      </c>
      <c r="C459" s="28">
        <f>[1]ALNS!Z112</f>
        <v>187230.804</v>
      </c>
      <c r="D459" s="28">
        <f>[1]ALNS!AA112</f>
        <v>186706.28</v>
      </c>
      <c r="E459" s="29">
        <f>[1]ALNS!AD112</f>
        <v>3.8360892093487892E-3</v>
      </c>
      <c r="F459" s="28">
        <f>[1]ALNS!AE112</f>
        <v>97.322000000000003</v>
      </c>
      <c r="G459" s="28" t="str">
        <f>'[1]PFB tests'!F458</f>
        <v>Infeasible</v>
      </c>
      <c r="H459" s="28" t="str">
        <f>'[1]PFB tests'!G458</f>
        <v>-</v>
      </c>
      <c r="I459" s="30" t="s">
        <v>32</v>
      </c>
      <c r="J459" s="30" t="s">
        <v>32</v>
      </c>
      <c r="K459" s="28">
        <f>'[1]Gurobi tests'!F403</f>
        <v>213897.09599999999</v>
      </c>
      <c r="L459" s="32">
        <f>'[1]Gurobi tests'!G403</f>
        <v>3969.62</v>
      </c>
      <c r="M459" s="29">
        <f>'[1]Gurobi tests'!H403/100</f>
        <v>0.33841487799409598</v>
      </c>
      <c r="N459" s="29">
        <f>(C459-K459)/K459</f>
        <v>-0.12466878933223099</v>
      </c>
      <c r="O459" s="29">
        <f>(F459-L459)/L459</f>
        <v>-0.97548329563031222</v>
      </c>
      <c r="P459" s="14"/>
      <c r="Q459" s="20"/>
      <c r="R459" s="20"/>
      <c r="S459" s="4"/>
      <c r="T459" s="2"/>
      <c r="U459" s="2"/>
    </row>
    <row r="460" spans="1:21" ht="17" x14ac:dyDescent="0.2">
      <c r="A460" s="19" t="s">
        <v>241</v>
      </c>
      <c r="B460" s="14">
        <v>2400</v>
      </c>
      <c r="C460" s="28">
        <f>[1]ALNS!Z113</f>
        <v>213432.48000000004</v>
      </c>
      <c r="D460" s="28">
        <f>[1]ALNS!AA113</f>
        <v>213432.48</v>
      </c>
      <c r="E460" s="29">
        <f>[1]ALNS!AD113</f>
        <v>1.5245604442886413E-16</v>
      </c>
      <c r="F460" s="28">
        <f>[1]ALNS!AE113</f>
        <v>106.306</v>
      </c>
      <c r="G460" s="58" t="s">
        <v>15</v>
      </c>
      <c r="H460" s="58" t="s">
        <v>32</v>
      </c>
      <c r="I460" s="59" t="s">
        <v>32</v>
      </c>
      <c r="J460" s="59" t="s">
        <v>32</v>
      </c>
      <c r="K460" s="28">
        <f>'[1]Gurobi tests'!F404</f>
        <v>235775.308374999</v>
      </c>
      <c r="L460" s="32">
        <f>'[1]Gurobi tests'!G404</f>
        <v>4146.01</v>
      </c>
      <c r="M460" s="29">
        <f>'[1]Gurobi tests'!H404/100</f>
        <v>0.32743543973442502</v>
      </c>
      <c r="N460" s="29">
        <f>(C460-K460)/K460</f>
        <v>-9.4763224058487291E-2</v>
      </c>
      <c r="O460" s="29">
        <f>(F460-L460)/L460</f>
        <v>-0.9743594443814656</v>
      </c>
      <c r="P460" s="14"/>
      <c r="Q460" s="20"/>
      <c r="R460" s="20"/>
      <c r="S460" s="4"/>
      <c r="T460" s="2"/>
      <c r="U460" s="2"/>
    </row>
    <row r="461" spans="1:21" ht="17" x14ac:dyDescent="0.2">
      <c r="A461" s="19" t="s">
        <v>148</v>
      </c>
      <c r="B461" s="14">
        <v>2400</v>
      </c>
      <c r="C461" s="28">
        <f>[1]ALNS!Z114</f>
        <v>231152.34</v>
      </c>
      <c r="D461" s="28">
        <f>[1]ALNS!AA114</f>
        <v>231152.34</v>
      </c>
      <c r="E461" s="29">
        <f>[1]ALNS!AD114</f>
        <v>0</v>
      </c>
      <c r="F461" s="28">
        <f>[1]ALNS!AE114</f>
        <v>100.014</v>
      </c>
      <c r="G461" s="58" t="s">
        <v>15</v>
      </c>
      <c r="H461" s="58" t="s">
        <v>32</v>
      </c>
      <c r="I461" s="59" t="s">
        <v>32</v>
      </c>
      <c r="J461" s="59" t="s">
        <v>32</v>
      </c>
      <c r="K461" s="28" t="str">
        <f>'[1]Gurobi tests'!F405</f>
        <v>Infeasible</v>
      </c>
      <c r="L461" s="32">
        <f>'[1]Gurobi tests'!G405</f>
        <v>4159.5025999999998</v>
      </c>
      <c r="M461" s="29" t="s">
        <v>32</v>
      </c>
      <c r="N461" s="29" t="s">
        <v>32</v>
      </c>
      <c r="O461" s="29">
        <f>(F461-L461)/L461</f>
        <v>-0.9759552981166546</v>
      </c>
      <c r="P461" s="14"/>
      <c r="Q461" s="20"/>
      <c r="R461" s="20"/>
      <c r="S461" s="4"/>
      <c r="T461" s="2"/>
      <c r="U461" s="2"/>
    </row>
    <row r="462" spans="1:21" x14ac:dyDescent="0.2">
      <c r="A462" s="14"/>
      <c r="B462" s="14"/>
      <c r="C462" s="28"/>
      <c r="D462" s="28"/>
      <c r="E462" s="29"/>
      <c r="F462" s="28"/>
      <c r="G462" s="32"/>
      <c r="H462" s="32"/>
      <c r="I462" s="32"/>
      <c r="J462" s="32"/>
      <c r="K462" s="28"/>
      <c r="L462" s="32"/>
      <c r="M462" s="32"/>
      <c r="N462" s="32"/>
      <c r="O462" s="32"/>
      <c r="P462" s="14"/>
      <c r="Q462" s="20"/>
      <c r="R462" s="20"/>
      <c r="S462" s="2"/>
      <c r="T462" s="2"/>
      <c r="U462" s="2"/>
    </row>
    <row r="463" spans="1:21" x14ac:dyDescent="0.2">
      <c r="A463" s="19" t="s">
        <v>149</v>
      </c>
      <c r="B463" s="14">
        <v>2400</v>
      </c>
      <c r="C463" s="28">
        <f>[1]ALNS!Z116</f>
        <v>68488.22</v>
      </c>
      <c r="D463" s="28">
        <f>[1]ALNS!AA116</f>
        <v>68488.22</v>
      </c>
      <c r="E463" s="29">
        <f>[1]ALNS!AD116</f>
        <v>0</v>
      </c>
      <c r="F463" s="28">
        <f>[1]ALNS!AE116</f>
        <v>15.546000000000001</v>
      </c>
      <c r="G463" s="28">
        <f>'[1]PFB tests'!F462</f>
        <v>68488.217749999894</v>
      </c>
      <c r="H463" s="28">
        <f>'[1]PFB tests'!G462</f>
        <v>16.444467624998602</v>
      </c>
      <c r="I463" s="30">
        <f t="shared" ref="I463:I469" si="124">(C463-G463)/G463</f>
        <v>3.2852367615731526E-8</v>
      </c>
      <c r="J463" s="30">
        <f>(F463-H463)/H463</f>
        <v>-5.4636467746317627E-2</v>
      </c>
      <c r="K463" s="28">
        <f>'[1]Gurobi tests'!F407</f>
        <v>68488.217632505301</v>
      </c>
      <c r="L463" s="32">
        <f>'[1]Gurobi tests'!G407</f>
        <v>210.59</v>
      </c>
      <c r="M463" s="29">
        <f>'[1]Gurobi tests'!H407/100</f>
        <v>0</v>
      </c>
      <c r="N463" s="29">
        <f>(C463-K463)/K463</f>
        <v>3.4567912298381994E-8</v>
      </c>
      <c r="O463" s="29">
        <f t="shared" ref="O463:O469" si="125">(F463-L463)/L463</f>
        <v>-0.92617883090365172</v>
      </c>
      <c r="P463" s="14"/>
      <c r="Q463" s="20"/>
      <c r="R463" s="20"/>
      <c r="S463" s="2"/>
      <c r="T463" s="2"/>
      <c r="U463" s="2"/>
    </row>
    <row r="464" spans="1:21" x14ac:dyDescent="0.2">
      <c r="A464" s="19" t="s">
        <v>242</v>
      </c>
      <c r="B464" s="14">
        <v>2400</v>
      </c>
      <c r="C464" s="28">
        <f>[1]ALNS!Z117</f>
        <v>84119.66</v>
      </c>
      <c r="D464" s="28">
        <f>[1]ALNS!AA117</f>
        <v>84119.66</v>
      </c>
      <c r="E464" s="29">
        <f>[1]ALNS!AD117</f>
        <v>0</v>
      </c>
      <c r="F464" s="28">
        <f>[1]ALNS!AE117</f>
        <v>22.128</v>
      </c>
      <c r="G464" s="28">
        <f>'[1]PFB tests'!F463</f>
        <v>84119.663</v>
      </c>
      <c r="H464" s="28">
        <f>'[1]PFB tests'!G463</f>
        <v>24.788394624978501</v>
      </c>
      <c r="I464" s="30">
        <f t="shared" si="124"/>
        <v>-3.5663480926845865E-8</v>
      </c>
      <c r="J464" s="30">
        <f t="shared" ref="J464:J469" si="126">(F464-H464)/H464</f>
        <v>-0.10732420010361234</v>
      </c>
      <c r="K464" s="28">
        <f>'[1]Gurobi tests'!F408</f>
        <v>84119.663</v>
      </c>
      <c r="L464" s="32">
        <f>'[1]Gurobi tests'!G408</f>
        <v>575.58000000000004</v>
      </c>
      <c r="M464" s="29">
        <f>'[1]Gurobi tests'!H408/100</f>
        <v>0</v>
      </c>
      <c r="N464" s="29">
        <f>(C464-K464)/K464</f>
        <v>-3.5663480926845865E-8</v>
      </c>
      <c r="O464" s="29">
        <f t="shared" si="125"/>
        <v>-0.96155530074012296</v>
      </c>
      <c r="P464" s="14"/>
      <c r="Q464" s="20"/>
      <c r="R464" s="20"/>
      <c r="S464" s="2"/>
      <c r="T464" s="2"/>
      <c r="U464" s="2"/>
    </row>
    <row r="465" spans="1:21" x14ac:dyDescent="0.2">
      <c r="A465" s="19" t="s">
        <v>243</v>
      </c>
      <c r="B465" s="14">
        <v>2400</v>
      </c>
      <c r="C465" s="28">
        <f>[1]ALNS!Z118</f>
        <v>136465.04</v>
      </c>
      <c r="D465" s="28">
        <f>[1]ALNS!AA118</f>
        <v>136465.04</v>
      </c>
      <c r="E465" s="29">
        <f>[1]ALNS!AD118</f>
        <v>0</v>
      </c>
      <c r="F465" s="28">
        <f>[1]ALNS!AE118</f>
        <v>35.797999999999995</v>
      </c>
      <c r="G465" s="28">
        <f>'[1]PFB tests'!F464</f>
        <v>136465.03824999899</v>
      </c>
      <c r="H465" s="28">
        <f>'[1]PFB tests'!G464</f>
        <v>33.030234000005201</v>
      </c>
      <c r="I465" s="30">
        <f t="shared" si="124"/>
        <v>1.2823804813927331E-8</v>
      </c>
      <c r="J465" s="30">
        <f t="shared" si="126"/>
        <v>8.3794925582251628E-2</v>
      </c>
      <c r="K465" s="28">
        <f>'[1]Gurobi tests'!F409</f>
        <v>136501.63298571901</v>
      </c>
      <c r="L465" s="32">
        <f>'[1]Gurobi tests'!G409</f>
        <v>3643.12</v>
      </c>
      <c r="M465" s="29">
        <f>'[1]Gurobi tests'!H409/100</f>
        <v>0.23672665279124999</v>
      </c>
      <c r="N465" s="29">
        <f>(C465-K465)/K465</f>
        <v>-2.680772743783528E-4</v>
      </c>
      <c r="O465" s="29">
        <f t="shared" si="125"/>
        <v>-0.99017380706647051</v>
      </c>
      <c r="P465" s="14"/>
      <c r="Q465" s="20"/>
      <c r="R465" s="20"/>
      <c r="S465" s="2"/>
      <c r="T465" s="2"/>
      <c r="U465" s="2"/>
    </row>
    <row r="466" spans="1:21" x14ac:dyDescent="0.2">
      <c r="A466" s="19" t="s">
        <v>244</v>
      </c>
      <c r="B466" s="14">
        <v>2400</v>
      </c>
      <c r="C466" s="28">
        <f>[1]ALNS!Z119</f>
        <v>165737.24</v>
      </c>
      <c r="D466" s="28">
        <f>[1]ALNS!AA119</f>
        <v>165737.24</v>
      </c>
      <c r="E466" s="29">
        <f>[1]ALNS!AD119</f>
        <v>0</v>
      </c>
      <c r="F466" s="28">
        <f>[1]ALNS!AE119</f>
        <v>47.831999999999994</v>
      </c>
      <c r="G466" s="28">
        <f>'[1]PFB tests'!F465</f>
        <v>165737.23924999899</v>
      </c>
      <c r="H466" s="28">
        <f>'[1]PFB tests'!G465</f>
        <v>46.650729291985002</v>
      </c>
      <c r="I466" s="30">
        <f t="shared" si="124"/>
        <v>4.5252412761515094E-9</v>
      </c>
      <c r="J466" s="30">
        <f t="shared" si="126"/>
        <v>2.5321591450831713E-2</v>
      </c>
      <c r="K466" s="28">
        <f>'[1]Gurobi tests'!F410</f>
        <v>167643.97174999901</v>
      </c>
      <c r="L466" s="32">
        <f>'[1]Gurobi tests'!G410</f>
        <v>3700.07</v>
      </c>
      <c r="M466" s="29">
        <f>'[1]Gurobi tests'!H410/100</f>
        <v>0.26935010313799401</v>
      </c>
      <c r="N466" s="29">
        <f>(C466-K466)/K466</f>
        <v>-1.1373697068227735E-2</v>
      </c>
      <c r="O466" s="29">
        <f t="shared" si="125"/>
        <v>-0.98707267700340806</v>
      </c>
      <c r="P466" s="14"/>
      <c r="Q466" s="20"/>
      <c r="R466" s="20"/>
      <c r="S466" s="2"/>
      <c r="T466" s="2"/>
      <c r="U466" s="2"/>
    </row>
    <row r="467" spans="1:21" x14ac:dyDescent="0.2">
      <c r="A467" s="19" t="s">
        <v>153</v>
      </c>
      <c r="B467" s="14">
        <v>2400</v>
      </c>
      <c r="C467" s="28">
        <f>[1]ALNS!Z120</f>
        <v>184868.02</v>
      </c>
      <c r="D467" s="28">
        <f>[1]ALNS!AA120</f>
        <v>184868.02</v>
      </c>
      <c r="E467" s="29">
        <f>[1]ALNS!AD120</f>
        <v>0</v>
      </c>
      <c r="F467" s="28">
        <f>[1]ALNS!AE120</f>
        <v>66.186000000000007</v>
      </c>
      <c r="G467" s="28">
        <f>'[1]PFB tests'!F466</f>
        <v>186050.71799999999</v>
      </c>
      <c r="H467" s="28">
        <f>'[1]PFB tests'!G466</f>
        <v>105.219519209</v>
      </c>
      <c r="I467" s="30">
        <f t="shared" si="124"/>
        <v>-6.3568580262076922E-3</v>
      </c>
      <c r="J467" s="30">
        <f t="shared" si="126"/>
        <v>-0.37097222551898185</v>
      </c>
      <c r="K467" s="28">
        <f>'[1]Gurobi tests'!F411</f>
        <v>186367.208749985</v>
      </c>
      <c r="L467" s="32">
        <f>'[1]Gurobi tests'!G411</f>
        <v>3728.15</v>
      </c>
      <c r="M467" s="29">
        <f>'[1]Gurobi tests'!H411/100</f>
        <v>0.26292860259335998</v>
      </c>
      <c r="N467" s="29">
        <f>(C467-K467)/K467</f>
        <v>-8.0442732390557051E-3</v>
      </c>
      <c r="O467" s="29">
        <f t="shared" si="125"/>
        <v>-0.98224695894746716</v>
      </c>
      <c r="P467" s="14"/>
      <c r="Q467" s="20"/>
      <c r="R467" s="20"/>
      <c r="S467" s="2"/>
      <c r="T467" s="2"/>
      <c r="U467" s="2"/>
    </row>
    <row r="468" spans="1:21" ht="17" x14ac:dyDescent="0.2">
      <c r="A468" s="19" t="s">
        <v>216</v>
      </c>
      <c r="B468" s="14">
        <v>2400</v>
      </c>
      <c r="C468" s="28">
        <f>[1]ALNS!Z121</f>
        <v>185431.13</v>
      </c>
      <c r="D468" s="28">
        <f>[1]ALNS!AA121</f>
        <v>185431.13</v>
      </c>
      <c r="E468" s="29">
        <f>[1]ALNS!AD121</f>
        <v>0</v>
      </c>
      <c r="F468" s="28">
        <f>[1]ALNS!AE121</f>
        <v>116.672</v>
      </c>
      <c r="G468" s="28">
        <f>'[1]PFB tests'!F467</f>
        <v>185952.55674999999</v>
      </c>
      <c r="H468" s="28">
        <f>'[1]PFB tests'!G467</f>
        <v>853.90222754198396</v>
      </c>
      <c r="I468" s="30">
        <f t="shared" si="124"/>
        <v>-2.8040848650497741E-3</v>
      </c>
      <c r="J468" s="30">
        <f t="shared" si="126"/>
        <v>-0.86336609012503884</v>
      </c>
      <c r="K468" s="28" t="str">
        <f>'[1]Gurobi tests'!F412</f>
        <v>Infeasible</v>
      </c>
      <c r="L468" s="32">
        <f>'[1]Gurobi tests'!G412</f>
        <v>3796.16</v>
      </c>
      <c r="M468" s="29" t="s">
        <v>32</v>
      </c>
      <c r="N468" s="29" t="s">
        <v>32</v>
      </c>
      <c r="O468" s="29">
        <f t="shared" si="125"/>
        <v>-0.96926578437157551</v>
      </c>
      <c r="P468" s="14"/>
      <c r="Q468" s="20"/>
      <c r="R468" s="20"/>
      <c r="S468" s="2"/>
      <c r="T468" s="2"/>
      <c r="U468" s="2"/>
    </row>
    <row r="469" spans="1:21" x14ac:dyDescent="0.2">
      <c r="A469" s="19" t="s">
        <v>155</v>
      </c>
      <c r="B469" s="14">
        <v>2400</v>
      </c>
      <c r="C469" s="28">
        <f>[1]ALNS!Z122</f>
        <v>226620.86799999996</v>
      </c>
      <c r="D469" s="28">
        <f>[1]ALNS!AA122</f>
        <v>226564.25</v>
      </c>
      <c r="E469" s="29">
        <f>[1]ALNS!AD122</f>
        <v>5.5864977425680649E-4</v>
      </c>
      <c r="F469" s="28">
        <f>[1]ALNS!AE122</f>
        <v>145.72999999999999</v>
      </c>
      <c r="G469" s="28">
        <f>'[1]PFB tests'!F468</f>
        <v>227677.84349999999</v>
      </c>
      <c r="H469" s="28">
        <f>'[1]PFB tests'!G468</f>
        <v>1345.5037930830099</v>
      </c>
      <c r="I469" s="30">
        <f t="shared" si="124"/>
        <v>-4.6424170387050845E-3</v>
      </c>
      <c r="J469" s="30">
        <f t="shared" si="126"/>
        <v>-0.89169112658829253</v>
      </c>
      <c r="K469" s="28">
        <f>'[1]Gurobi tests'!F413</f>
        <v>236943.70499999</v>
      </c>
      <c r="L469" s="32">
        <f>'[1]Gurobi tests'!G413</f>
        <v>3888.9</v>
      </c>
      <c r="M469" s="29">
        <f>'[1]Gurobi tests'!H413/100</f>
        <v>0.28393180371091203</v>
      </c>
      <c r="N469" s="29">
        <f>(C469-K469)/K469</f>
        <v>-4.3566622713148179E-2</v>
      </c>
      <c r="O469" s="29">
        <f t="shared" si="125"/>
        <v>-0.96252667849520435</v>
      </c>
      <c r="P469" s="14"/>
      <c r="Q469" s="20"/>
      <c r="R469" s="20"/>
      <c r="S469" s="2"/>
      <c r="T469" s="2"/>
      <c r="U469" s="2"/>
    </row>
    <row r="470" spans="1:21" ht="17" x14ac:dyDescent="0.2">
      <c r="A470" s="19" t="s">
        <v>217</v>
      </c>
      <c r="B470" s="14">
        <v>2400</v>
      </c>
      <c r="C470" s="28">
        <f>[1]ALNS!Z123</f>
        <v>238166.59</v>
      </c>
      <c r="D470" s="28">
        <f>[1]ALNS!AA123</f>
        <v>236079.1</v>
      </c>
      <c r="E470" s="29">
        <f>[1]ALNS!AD123</f>
        <v>8.0011597594108197E-3</v>
      </c>
      <c r="F470" s="28">
        <f>[1]ALNS!AE123</f>
        <v>170.32599999999999</v>
      </c>
      <c r="G470" s="28" t="str">
        <f>'[1]PFB tests'!F469</f>
        <v>Infeasible</v>
      </c>
      <c r="H470" s="28" t="str">
        <f>'[1]PFB tests'!G469</f>
        <v>-</v>
      </c>
      <c r="I470" s="30" t="s">
        <v>32</v>
      </c>
      <c r="J470" s="30" t="s">
        <v>32</v>
      </c>
      <c r="K470" s="28">
        <f>'[1]Gurobi tests'!F414</f>
        <v>293557.921999869</v>
      </c>
      <c r="L470" s="32">
        <f>'[1]Gurobi tests'!G414</f>
        <v>3968.33</v>
      </c>
      <c r="M470" s="29">
        <f>'[1]Gurobi tests'!H414/100</f>
        <v>0.407683997516327</v>
      </c>
      <c r="N470" s="29">
        <f>(C470-K470)/K470</f>
        <v>-0.18868961744419802</v>
      </c>
      <c r="O470" s="29">
        <f>(F470-L470)/L470</f>
        <v>-0.95707867037267569</v>
      </c>
      <c r="P470" s="14"/>
      <c r="Q470" s="20"/>
      <c r="R470" s="20"/>
      <c r="S470" s="4"/>
      <c r="T470" s="2"/>
      <c r="U470" s="2"/>
    </row>
    <row r="471" spans="1:21" ht="17" x14ac:dyDescent="0.2">
      <c r="A471" s="19" t="s">
        <v>245</v>
      </c>
      <c r="B471" s="14">
        <v>2400</v>
      </c>
      <c r="C471" s="28">
        <f>[1]ALNS!Z124</f>
        <v>267634.04399999994</v>
      </c>
      <c r="D471" s="28">
        <f>[1]ALNS!AA124</f>
        <v>267607.8</v>
      </c>
      <c r="E471" s="29">
        <f>[1]ALNS!AD124</f>
        <v>1.3427319058821347E-4</v>
      </c>
      <c r="F471" s="28">
        <f>[1]ALNS!AE124</f>
        <v>164.00600000000003</v>
      </c>
      <c r="G471" s="58" t="s">
        <v>15</v>
      </c>
      <c r="H471" s="58" t="s">
        <v>32</v>
      </c>
      <c r="I471" s="59" t="s">
        <v>32</v>
      </c>
      <c r="J471" s="59" t="s">
        <v>32</v>
      </c>
      <c r="K471" s="28" t="str">
        <f>'[1]Gurobi tests'!F415</f>
        <v>Infeasible</v>
      </c>
      <c r="L471" s="32">
        <f>'[1]Gurobi tests'!G415</f>
        <v>4136.71</v>
      </c>
      <c r="M471" s="29" t="s">
        <v>32</v>
      </c>
      <c r="N471" s="32" t="s">
        <v>32</v>
      </c>
      <c r="O471" s="32" t="s">
        <v>32</v>
      </c>
      <c r="P471" s="14"/>
      <c r="Q471" s="20"/>
      <c r="R471" s="20"/>
      <c r="S471" s="4"/>
      <c r="T471" s="2"/>
      <c r="U471" s="2"/>
    </row>
    <row r="472" spans="1:21" ht="17" x14ac:dyDescent="0.2">
      <c r="A472" s="19" t="s">
        <v>158</v>
      </c>
      <c r="B472" s="14">
        <v>2400</v>
      </c>
      <c r="C472" s="28">
        <f>[1]ALNS!Z125</f>
        <v>289086.03999999998</v>
      </c>
      <c r="D472" s="28">
        <f>[1]ALNS!AA125</f>
        <v>288896.26</v>
      </c>
      <c r="E472" s="29">
        <f>[1]ALNS!AD125</f>
        <v>7.9972673827227725E-4</v>
      </c>
      <c r="F472" s="28">
        <f>[1]ALNS!AE125</f>
        <v>147.35999999999999</v>
      </c>
      <c r="G472" s="58" t="s">
        <v>15</v>
      </c>
      <c r="H472" s="58" t="s">
        <v>32</v>
      </c>
      <c r="I472" s="59" t="s">
        <v>32</v>
      </c>
      <c r="J472" s="59" t="s">
        <v>32</v>
      </c>
      <c r="K472" s="58" t="s">
        <v>15</v>
      </c>
      <c r="L472" s="58" t="s">
        <v>32</v>
      </c>
      <c r="M472" s="59" t="s">
        <v>32</v>
      </c>
      <c r="N472" s="59" t="s">
        <v>32</v>
      </c>
      <c r="O472" s="32" t="s">
        <v>32</v>
      </c>
      <c r="P472" s="14"/>
      <c r="Q472" s="20"/>
      <c r="R472" s="20"/>
      <c r="S472" s="4"/>
      <c r="T472" s="2"/>
      <c r="U472" s="2"/>
    </row>
    <row r="473" spans="1:21" x14ac:dyDescent="0.2">
      <c r="A473" s="19"/>
      <c r="B473" s="14"/>
      <c r="C473" s="28"/>
      <c r="D473" s="28"/>
      <c r="E473" s="29"/>
      <c r="F473" s="28"/>
      <c r="G473" s="32"/>
      <c r="H473" s="32"/>
      <c r="I473" s="32"/>
      <c r="J473" s="32"/>
      <c r="K473" s="32"/>
      <c r="L473" s="32"/>
      <c r="M473" s="32"/>
      <c r="N473" s="32"/>
      <c r="O473" s="32"/>
      <c r="P473" s="14"/>
      <c r="Q473" s="20"/>
      <c r="R473" s="20"/>
      <c r="S473" s="2"/>
      <c r="T473" s="2"/>
      <c r="U473" s="2"/>
    </row>
    <row r="474" spans="1:21" x14ac:dyDescent="0.2">
      <c r="A474" s="19" t="s">
        <v>159</v>
      </c>
      <c r="B474" s="14">
        <v>2400</v>
      </c>
      <c r="C474" s="28">
        <f>[1]ALNS!Z127</f>
        <v>79631.527999999991</v>
      </c>
      <c r="D474" s="28">
        <f>[1]ALNS!AA127</f>
        <v>79231.92</v>
      </c>
      <c r="E474" s="29">
        <f>[1]ALNS!AD127</f>
        <v>6.8714716788909709E-3</v>
      </c>
      <c r="F474" s="28">
        <f>[1]ALNS!AE127</f>
        <v>16.892000000000003</v>
      </c>
      <c r="G474" s="28">
        <f>'[1]PFB tests'!F473</f>
        <v>79231.915150000001</v>
      </c>
      <c r="H474" s="28">
        <f>'[1]PFB tests'!G473</f>
        <v>18.374971874989502</v>
      </c>
      <c r="I474" s="30">
        <f t="shared" ref="I474:I480" si="127">(C474-G474)/G474</f>
        <v>5.0435843844422136E-3</v>
      </c>
      <c r="J474" s="30">
        <f>(F474-H474)/H474</f>
        <v>-8.0706075910135011E-2</v>
      </c>
      <c r="K474" s="28">
        <f>'[1]Gurobi tests'!F418</f>
        <v>79231.915139107499</v>
      </c>
      <c r="L474" s="32">
        <f>'[1]Gurobi tests'!G418</f>
        <v>265.85000000000002</v>
      </c>
      <c r="M474" s="29">
        <f>'[1]Gurobi tests'!H418/100</f>
        <v>0</v>
      </c>
      <c r="N474" s="29">
        <f>(C474-K474)/K474</f>
        <v>5.0435845226117718E-3</v>
      </c>
      <c r="O474" s="29">
        <f t="shared" ref="O474:O476" si="128">(F474-L474)/L474</f>
        <v>-0.93646041000564229</v>
      </c>
      <c r="P474" s="14"/>
      <c r="Q474" s="20"/>
      <c r="R474" s="20"/>
      <c r="S474" s="2"/>
      <c r="T474" s="2"/>
      <c r="U474" s="2"/>
    </row>
    <row r="475" spans="1:21" x14ac:dyDescent="0.2">
      <c r="A475" s="19" t="s">
        <v>246</v>
      </c>
      <c r="B475" s="14">
        <v>2400</v>
      </c>
      <c r="C475" s="28">
        <f>[1]ALNS!Z128</f>
        <v>92074.54</v>
      </c>
      <c r="D475" s="28">
        <f>[1]ALNS!AA128</f>
        <v>92074.54</v>
      </c>
      <c r="E475" s="29">
        <f>[1]ALNS!AD128</f>
        <v>0</v>
      </c>
      <c r="F475" s="28">
        <f>[1]ALNS!AE128</f>
        <v>22.044</v>
      </c>
      <c r="G475" s="28">
        <f>'[1]PFB tests'!F474</f>
        <v>91576.418199999898</v>
      </c>
      <c r="H475" s="28">
        <f>'[1]PFB tests'!G474</f>
        <v>25.250838459003699</v>
      </c>
      <c r="I475" s="30">
        <f t="shared" si="127"/>
        <v>5.4394112566426619E-3</v>
      </c>
      <c r="J475" s="30">
        <f t="shared" ref="J475:J480" si="129">(F475-H475)/H475</f>
        <v>-0.12699928615084205</v>
      </c>
      <c r="K475" s="28">
        <f>'[1]Gurobi tests'!F419</f>
        <v>91576.418199999898</v>
      </c>
      <c r="L475" s="32">
        <f>'[1]Gurobi tests'!G419</f>
        <v>788.86</v>
      </c>
      <c r="M475" s="29">
        <f>'[1]Gurobi tests'!H419/100</f>
        <v>0</v>
      </c>
      <c r="N475" s="29">
        <f>(C475-K475)/K475</f>
        <v>5.4394112566426619E-3</v>
      </c>
      <c r="O475" s="29">
        <f t="shared" si="128"/>
        <v>-0.97205587810257843</v>
      </c>
      <c r="P475" s="14"/>
      <c r="Q475" s="20"/>
      <c r="R475" s="20"/>
      <c r="S475" s="2"/>
      <c r="T475" s="2"/>
      <c r="U475" s="2"/>
    </row>
    <row r="476" spans="1:21" x14ac:dyDescent="0.2">
      <c r="A476" s="19" t="s">
        <v>218</v>
      </c>
      <c r="B476" s="14">
        <v>2400</v>
      </c>
      <c r="C476" s="28">
        <f>[1]ALNS!Z129</f>
        <v>158793.37</v>
      </c>
      <c r="D476" s="28">
        <f>[1]ALNS!AA129</f>
        <v>158793.37</v>
      </c>
      <c r="E476" s="29">
        <f>[1]ALNS!AD129</f>
        <v>0</v>
      </c>
      <c r="F476" s="28">
        <f>[1]ALNS!AE129</f>
        <v>39.317999999999998</v>
      </c>
      <c r="G476" s="28">
        <f>'[1]PFB tests'!F475</f>
        <v>158793.36764999901</v>
      </c>
      <c r="H476" s="28">
        <f>'[1]PFB tests'!G475</f>
        <v>31.3165241670212</v>
      </c>
      <c r="I476" s="30">
        <f t="shared" si="127"/>
        <v>1.4799112957372554E-8</v>
      </c>
      <c r="J476" s="30">
        <f t="shared" si="129"/>
        <v>0.25550331800248099</v>
      </c>
      <c r="K476" s="28">
        <f>'[1]Gurobi tests'!F420</f>
        <v>159631.43640000001</v>
      </c>
      <c r="L476" s="32">
        <f>'[1]Gurobi tests'!G420</f>
        <v>3642.08</v>
      </c>
      <c r="M476" s="29">
        <f>'[1]Gurobi tests'!H420/100</f>
        <v>0.28403672404241403</v>
      </c>
      <c r="N476" s="29">
        <f>(C476-K476)/K476</f>
        <v>-5.2500085127343415E-3</v>
      </c>
      <c r="O476" s="29">
        <f t="shared" si="128"/>
        <v>-0.98920452049378371</v>
      </c>
      <c r="P476" s="14"/>
      <c r="Q476" s="20"/>
      <c r="R476" s="20"/>
      <c r="S476" s="2"/>
      <c r="T476" s="2"/>
      <c r="U476" s="2"/>
    </row>
    <row r="477" spans="1:21" x14ac:dyDescent="0.2">
      <c r="A477" s="19" t="s">
        <v>247</v>
      </c>
      <c r="B477" s="14">
        <v>2400</v>
      </c>
      <c r="C477" s="28">
        <f>[1]ALNS!Z130</f>
        <v>199457.25</v>
      </c>
      <c r="D477" s="28">
        <f>[1]ALNS!AA130</f>
        <v>197576</v>
      </c>
      <c r="E477" s="29">
        <f>[1]ALNS!AD130</f>
        <v>2.10902480740684E-2</v>
      </c>
      <c r="F477" s="28">
        <f>[1]ALNS!AE130</f>
        <v>56.213999999999999</v>
      </c>
      <c r="G477" s="28">
        <f>'[1]PFB tests'!F476</f>
        <v>197160.923749999</v>
      </c>
      <c r="H477" s="28">
        <f>'[1]PFB tests'!G476</f>
        <v>46.472915874997803</v>
      </c>
      <c r="I477" s="30">
        <f t="shared" si="127"/>
        <v>1.1646964349349241E-2</v>
      </c>
      <c r="J477" s="30">
        <f t="shared" si="129"/>
        <v>0.20960776705304285</v>
      </c>
      <c r="K477" s="28">
        <f>'[1]Gurobi tests'!F421</f>
        <v>220874.06120005099</v>
      </c>
      <c r="L477" s="32">
        <f>'[1]Gurobi tests'!G421</f>
        <v>3700.1</v>
      </c>
      <c r="M477" s="29">
        <f>'[1]Gurobi tests'!H421/100</f>
        <v>0.39242481648862598</v>
      </c>
      <c r="N477" s="29">
        <f>(C477-K477)/K477</f>
        <v>-9.6963903700096596E-2</v>
      </c>
      <c r="O477" s="29">
        <f>(F477-L477)/L477</f>
        <v>-0.98480743763682066</v>
      </c>
      <c r="P477" s="14"/>
      <c r="Q477" s="20"/>
      <c r="R477" s="20"/>
      <c r="S477" s="2"/>
      <c r="T477" s="2"/>
      <c r="U477" s="2"/>
    </row>
    <row r="478" spans="1:21" ht="17" x14ac:dyDescent="0.2">
      <c r="A478" s="19" t="s">
        <v>220</v>
      </c>
      <c r="B478" s="14">
        <v>2400</v>
      </c>
      <c r="C478" s="28">
        <f>[1]ALNS!Z131</f>
        <v>223578.66399999996</v>
      </c>
      <c r="D478" s="28">
        <f>[1]ALNS!AA131</f>
        <v>223161.64</v>
      </c>
      <c r="E478" s="29">
        <f>[1]ALNS!AD131</f>
        <v>1.7027075820096108E-3</v>
      </c>
      <c r="F478" s="28">
        <f>[1]ALNS!AE131</f>
        <v>75.655999999999992</v>
      </c>
      <c r="G478" s="28">
        <f>'[1]PFB tests'!F477</f>
        <v>224485.80069999999</v>
      </c>
      <c r="H478" s="28">
        <f>'[1]PFB tests'!G477</f>
        <v>98.455538209003805</v>
      </c>
      <c r="I478" s="30">
        <f t="shared" si="127"/>
        <v>-4.0409535800098022E-3</v>
      </c>
      <c r="J478" s="30">
        <f t="shared" si="129"/>
        <v>-0.23157192194312523</v>
      </c>
      <c r="K478" s="28" t="str">
        <f>'[1]Gurobi tests'!F422</f>
        <v>Infeasible</v>
      </c>
      <c r="L478" s="32">
        <f>'[1]Gurobi tests'!G422</f>
        <v>3727.09</v>
      </c>
      <c r="M478" s="29" t="s">
        <v>32</v>
      </c>
      <c r="N478" s="29" t="s">
        <v>32</v>
      </c>
      <c r="O478" s="29">
        <f>(F478-L478)/L478</f>
        <v>-0.97970105363701976</v>
      </c>
      <c r="P478" s="14"/>
      <c r="Q478" s="20"/>
      <c r="R478" s="20"/>
      <c r="S478" s="2"/>
      <c r="T478" s="2"/>
      <c r="U478" s="2"/>
    </row>
    <row r="479" spans="1:21" ht="17" x14ac:dyDescent="0.2">
      <c r="A479" s="19" t="s">
        <v>221</v>
      </c>
      <c r="B479" s="14">
        <v>2400</v>
      </c>
      <c r="C479" s="28">
        <f>[1]ALNS!Z132</f>
        <v>223572.07199999999</v>
      </c>
      <c r="D479" s="28">
        <f>[1]ALNS!AA132</f>
        <v>222384.77</v>
      </c>
      <c r="E479" s="29">
        <f>[1]ALNS!AD132</f>
        <v>3.3960160775581543E-3</v>
      </c>
      <c r="F479" s="28">
        <f>[1]ALNS!AE132</f>
        <v>406.584</v>
      </c>
      <c r="G479" s="28">
        <f>'[1]PFB tests'!F478</f>
        <v>224840.0165</v>
      </c>
      <c r="H479" s="28">
        <f>'[1]PFB tests'!G478</f>
        <v>870.87133145800897</v>
      </c>
      <c r="I479" s="30">
        <f t="shared" si="127"/>
        <v>-5.6393186574953498E-3</v>
      </c>
      <c r="J479" s="30">
        <f t="shared" si="129"/>
        <v>-0.53312965381545074</v>
      </c>
      <c r="K479" s="28" t="str">
        <f>'[1]Gurobi tests'!F423</f>
        <v>Infeasible</v>
      </c>
      <c r="L479" s="32">
        <f>'[1]Gurobi tests'!G423</f>
        <v>3796.52</v>
      </c>
      <c r="M479" s="29" t="s">
        <v>32</v>
      </c>
      <c r="N479" s="29" t="s">
        <v>32</v>
      </c>
      <c r="O479" s="29">
        <f>(F479-L479)/L479</f>
        <v>-0.89290613509213701</v>
      </c>
      <c r="P479" s="14"/>
      <c r="Q479" s="20"/>
      <c r="R479" s="20"/>
      <c r="S479" s="2"/>
      <c r="T479" s="2"/>
      <c r="U479" s="2"/>
    </row>
    <row r="480" spans="1:21" ht="17" x14ac:dyDescent="0.2">
      <c r="A480" s="19" t="s">
        <v>222</v>
      </c>
      <c r="B480" s="14">
        <v>2400</v>
      </c>
      <c r="C480" s="28">
        <f>[1]ALNS!Z133</f>
        <v>267685.39199999999</v>
      </c>
      <c r="D480" s="28">
        <f>[1]ALNS!AA133</f>
        <v>265051.99</v>
      </c>
      <c r="E480" s="29">
        <f>[1]ALNS!AD133</f>
        <v>6.3880331846072709E-3</v>
      </c>
      <c r="F480" s="28">
        <f>[1]ALNS!AE133</f>
        <v>413.52600000000001</v>
      </c>
      <c r="G480" s="28">
        <f>'[1]PFB tests'!F479</f>
        <v>267080.13969999901</v>
      </c>
      <c r="H480" s="28">
        <f>'[1]PFB tests'!G479</f>
        <v>1150.08056645799</v>
      </c>
      <c r="I480" s="30">
        <f t="shared" si="127"/>
        <v>2.2661823551569176E-3</v>
      </c>
      <c r="J480" s="30">
        <f t="shared" si="129"/>
        <v>-0.6404373640765233</v>
      </c>
      <c r="K480" s="58" t="s">
        <v>15</v>
      </c>
      <c r="L480" s="58" t="s">
        <v>32</v>
      </c>
      <c r="M480" s="59" t="s">
        <v>32</v>
      </c>
      <c r="N480" s="59" t="s">
        <v>32</v>
      </c>
      <c r="O480" s="32" t="s">
        <v>32</v>
      </c>
      <c r="P480" s="14"/>
      <c r="Q480" s="20"/>
      <c r="R480" s="20"/>
      <c r="S480" s="2"/>
      <c r="T480" s="2"/>
      <c r="U480" s="2"/>
    </row>
    <row r="481" spans="1:21" ht="17" x14ac:dyDescent="0.2">
      <c r="A481" s="19" t="s">
        <v>223</v>
      </c>
      <c r="B481" s="14">
        <v>2400</v>
      </c>
      <c r="C481" s="28">
        <f>[1]ALNS!Z134</f>
        <v>289635.93200000003</v>
      </c>
      <c r="D481" s="28">
        <f>[1]ALNS!AA134</f>
        <v>284931.73</v>
      </c>
      <c r="E481" s="29">
        <f>[1]ALNS!AD134</f>
        <v>9.8042856383914519E-3</v>
      </c>
      <c r="F481" s="28">
        <f>[1]ALNS!AE134</f>
        <v>505.62600000000003</v>
      </c>
      <c r="G481" s="28" t="str">
        <f>'[1]PFB tests'!F480</f>
        <v>Infeasible</v>
      </c>
      <c r="H481" s="28" t="str">
        <f>'[1]PFB tests'!G480</f>
        <v>-</v>
      </c>
      <c r="I481" s="30" t="s">
        <v>32</v>
      </c>
      <c r="J481" s="30" t="s">
        <v>32</v>
      </c>
      <c r="K481" s="58" t="s">
        <v>15</v>
      </c>
      <c r="L481" s="58" t="s">
        <v>32</v>
      </c>
      <c r="M481" s="59" t="s">
        <v>32</v>
      </c>
      <c r="N481" s="59" t="s">
        <v>32</v>
      </c>
      <c r="O481" s="32" t="s">
        <v>32</v>
      </c>
      <c r="P481" s="14"/>
      <c r="Q481" s="20"/>
      <c r="R481" s="20"/>
      <c r="S481" s="4"/>
      <c r="T481" s="2"/>
      <c r="U481" s="2"/>
    </row>
    <row r="482" spans="1:21" ht="17" x14ac:dyDescent="0.2">
      <c r="A482" s="19" t="s">
        <v>248</v>
      </c>
      <c r="B482" s="14">
        <v>2400</v>
      </c>
      <c r="C482" s="28">
        <f>[1]ALNS!Z135</f>
        <v>311851.65799999994</v>
      </c>
      <c r="D482" s="28">
        <f>[1]ALNS!AA135</f>
        <v>309850.86</v>
      </c>
      <c r="E482" s="29">
        <f>[1]ALNS!AD135</f>
        <v>4.0467995844086146E-3</v>
      </c>
      <c r="F482" s="28">
        <f>[1]ALNS!AE135</f>
        <v>494.02600000000001</v>
      </c>
      <c r="G482" s="58" t="s">
        <v>15</v>
      </c>
      <c r="H482" s="58" t="s">
        <v>32</v>
      </c>
      <c r="I482" s="59" t="s">
        <v>32</v>
      </c>
      <c r="J482" s="59" t="s">
        <v>32</v>
      </c>
      <c r="K482" s="58" t="s">
        <v>15</v>
      </c>
      <c r="L482" s="58" t="s">
        <v>32</v>
      </c>
      <c r="M482" s="59" t="s">
        <v>32</v>
      </c>
      <c r="N482" s="59" t="s">
        <v>32</v>
      </c>
      <c r="O482" s="32" t="s">
        <v>32</v>
      </c>
      <c r="P482" s="14"/>
      <c r="Q482" s="20"/>
      <c r="R482" s="20"/>
      <c r="S482" s="4"/>
      <c r="T482" s="2"/>
      <c r="U482" s="2"/>
    </row>
    <row r="483" spans="1:21" ht="17" x14ac:dyDescent="0.2">
      <c r="A483" s="19" t="s">
        <v>168</v>
      </c>
      <c r="B483" s="14">
        <v>2400</v>
      </c>
      <c r="C483" s="28">
        <f>[1]ALNS!Z136</f>
        <v>338914.63199999998</v>
      </c>
      <c r="D483" s="28">
        <f>[1]ALNS!AA136</f>
        <v>337734.94</v>
      </c>
      <c r="E483" s="29">
        <f>[1]ALNS!AD136</f>
        <v>3.505568143350134E-3</v>
      </c>
      <c r="F483" s="28">
        <f>[1]ALNS!AE136</f>
        <v>481.654</v>
      </c>
      <c r="G483" s="58" t="s">
        <v>15</v>
      </c>
      <c r="H483" s="58" t="s">
        <v>32</v>
      </c>
      <c r="I483" s="59" t="s">
        <v>32</v>
      </c>
      <c r="J483" s="59" t="s">
        <v>32</v>
      </c>
      <c r="K483" s="58" t="s">
        <v>15</v>
      </c>
      <c r="L483" s="58" t="s">
        <v>32</v>
      </c>
      <c r="M483" s="59" t="s">
        <v>32</v>
      </c>
      <c r="N483" s="59" t="s">
        <v>32</v>
      </c>
      <c r="O483" s="32" t="s">
        <v>32</v>
      </c>
      <c r="P483" s="14"/>
      <c r="Q483" s="20"/>
      <c r="R483" s="20"/>
      <c r="S483" s="4"/>
      <c r="T483" s="2"/>
      <c r="U483" s="2"/>
    </row>
    <row r="484" spans="1:21" x14ac:dyDescent="0.2">
      <c r="A484" s="14"/>
      <c r="B484" s="14"/>
      <c r="C484" s="32"/>
      <c r="D484" s="32"/>
      <c r="E484" s="32"/>
      <c r="F484" s="32"/>
      <c r="G484" s="32"/>
      <c r="H484" s="32"/>
      <c r="I484" s="30"/>
      <c r="J484" s="30"/>
      <c r="K484" s="32"/>
      <c r="L484" s="32"/>
      <c r="M484" s="31"/>
      <c r="N484" s="30"/>
      <c r="O484" s="30"/>
      <c r="P484" s="30"/>
      <c r="Q484" s="20"/>
      <c r="R484" s="20"/>
      <c r="S484" s="21"/>
      <c r="T484" s="21"/>
      <c r="U484" s="21"/>
    </row>
    <row r="485" spans="1:21" x14ac:dyDescent="0.2">
      <c r="A485" s="19" t="s">
        <v>169</v>
      </c>
      <c r="B485" s="14">
        <v>2400</v>
      </c>
      <c r="C485" s="28">
        <f>[1]ALNS!Z138</f>
        <v>62281.81</v>
      </c>
      <c r="D485" s="28">
        <f>[1]ALNS!AA138</f>
        <v>62281.81</v>
      </c>
      <c r="E485" s="29">
        <f>[1]ALNS!AD138</f>
        <v>0</v>
      </c>
      <c r="F485" s="28">
        <f>[1]ALNS!AE138</f>
        <v>15.786000000000001</v>
      </c>
      <c r="G485" s="28">
        <f>'[1]PFB tests'!F484</f>
        <v>62281.812055000002</v>
      </c>
      <c r="H485" s="28">
        <f>'[1]PFB tests'!G484</f>
        <v>16.198478582984499</v>
      </c>
      <c r="I485" s="30">
        <f t="shared" ref="I485:I491" si="130">(C485-G485)/G485</f>
        <v>-3.2995186502606407E-8</v>
      </c>
      <c r="J485" s="30">
        <f>(F485-H485)/H485</f>
        <v>-2.5464032370162305E-2</v>
      </c>
      <c r="K485" s="28">
        <f>'[1]Gurobi tests'!F429</f>
        <v>62281.811999999998</v>
      </c>
      <c r="L485" s="32">
        <f>'[1]Gurobi tests'!G429</f>
        <v>136.88</v>
      </c>
      <c r="M485" s="29">
        <f>'[1]Gurobi tests'!H429/100</f>
        <v>0</v>
      </c>
      <c r="N485" s="29">
        <f t="shared" ref="N485:N491" si="131">(C485-K485)/K485</f>
        <v>-3.2112103617143533E-8</v>
      </c>
      <c r="O485" s="29">
        <f t="shared" ref="O485:O491" si="132">(F485-L485)/L485</f>
        <v>-0.88467270601987136</v>
      </c>
      <c r="P485" s="14"/>
      <c r="Q485" s="20"/>
      <c r="R485" s="20"/>
      <c r="S485" s="2"/>
      <c r="T485" s="2"/>
      <c r="U485" s="2"/>
    </row>
    <row r="486" spans="1:21" x14ac:dyDescent="0.2">
      <c r="A486" s="19" t="s">
        <v>249</v>
      </c>
      <c r="B486" s="14">
        <v>2400</v>
      </c>
      <c r="C486" s="28">
        <f>[1]ALNS!Z139</f>
        <v>94057.37</v>
      </c>
      <c r="D486" s="28">
        <f>[1]ALNS!AA139</f>
        <v>94057.37</v>
      </c>
      <c r="E486" s="29">
        <f>[1]ALNS!AD139</f>
        <v>0</v>
      </c>
      <c r="F486" s="28">
        <f>[1]ALNS!AE139</f>
        <v>21.9</v>
      </c>
      <c r="G486" s="28">
        <f>'[1]PFB tests'!F485</f>
        <v>94057.368219999902</v>
      </c>
      <c r="H486" s="28">
        <f>'[1]PFB tests'!G485</f>
        <v>21.8320733339933</v>
      </c>
      <c r="I486" s="30">
        <f t="shared" si="130"/>
        <v>1.8924621504539629E-8</v>
      </c>
      <c r="J486" s="30">
        <f t="shared" ref="J486:J491" si="133">(F486-H486)/H486</f>
        <v>3.1113245621493227E-3</v>
      </c>
      <c r="K486" s="28">
        <f>'[1]Gurobi tests'!F430</f>
        <v>94057.368054999999</v>
      </c>
      <c r="L486" s="32">
        <f>'[1]Gurobi tests'!G430</f>
        <v>2799.16</v>
      </c>
      <c r="M486" s="29">
        <f>'[1]Gurobi tests'!H430/100</f>
        <v>0</v>
      </c>
      <c r="N486" s="29">
        <f t="shared" si="131"/>
        <v>2.0678869040887518E-8</v>
      </c>
      <c r="O486" s="29">
        <f t="shared" si="132"/>
        <v>-0.99217622429586017</v>
      </c>
      <c r="P486" s="14"/>
      <c r="Q486" s="20"/>
      <c r="R486" s="20"/>
      <c r="S486" s="2"/>
      <c r="T486" s="2"/>
      <c r="U486" s="2"/>
    </row>
    <row r="487" spans="1:21" x14ac:dyDescent="0.2">
      <c r="A487" s="19" t="s">
        <v>171</v>
      </c>
      <c r="B487" s="14">
        <v>2400</v>
      </c>
      <c r="C487" s="28">
        <f>[1]ALNS!Z140</f>
        <v>115277.04</v>
      </c>
      <c r="D487" s="28">
        <f>[1]ALNS!AA140</f>
        <v>115277.04</v>
      </c>
      <c r="E487" s="29">
        <f>[1]ALNS!AD140</f>
        <v>0</v>
      </c>
      <c r="F487" s="28">
        <f>[1]ALNS!AE140</f>
        <v>37.368000000000002</v>
      </c>
      <c r="G487" s="28">
        <f>'[1]PFB tests'!F486</f>
        <v>115277.04011</v>
      </c>
      <c r="H487" s="28">
        <f>'[1]PFB tests'!G486</f>
        <v>26.947245624993201</v>
      </c>
      <c r="I487" s="30">
        <f t="shared" si="130"/>
        <v>-9.5422304415639185E-10</v>
      </c>
      <c r="J487" s="30">
        <f t="shared" si="133"/>
        <v>0.38670944407549002</v>
      </c>
      <c r="K487" s="28">
        <f>'[1]Gurobi tests'!F431</f>
        <v>115807.01967379601</v>
      </c>
      <c r="L487" s="32">
        <f>'[1]Gurobi tests'!G431</f>
        <v>3651.1</v>
      </c>
      <c r="M487" s="29">
        <f>'[1]Gurobi tests'!H431/100</f>
        <v>0.172257446513255</v>
      </c>
      <c r="N487" s="29">
        <f t="shared" si="131"/>
        <v>-4.5764037041006187E-3</v>
      </c>
      <c r="O487" s="29">
        <f t="shared" si="132"/>
        <v>-0.98976527621812604</v>
      </c>
      <c r="P487" s="14"/>
      <c r="Q487" s="20"/>
      <c r="R487" s="20"/>
      <c r="S487" s="2"/>
      <c r="T487" s="2"/>
      <c r="U487" s="2"/>
    </row>
    <row r="488" spans="1:21" x14ac:dyDescent="0.2">
      <c r="A488" s="19" t="s">
        <v>172</v>
      </c>
      <c r="B488" s="14">
        <v>2400</v>
      </c>
      <c r="C488" s="28">
        <f>[1]ALNS!Z141</f>
        <v>132866.6</v>
      </c>
      <c r="D488" s="28">
        <f>[1]ALNS!AA141</f>
        <v>132866.6</v>
      </c>
      <c r="E488" s="29">
        <f>[1]ALNS!AD141</f>
        <v>0</v>
      </c>
      <c r="F488" s="28">
        <f>[1]ALNS!AE141</f>
        <v>39.118000000000002</v>
      </c>
      <c r="G488" s="28">
        <f>'[1]PFB tests'!F487</f>
        <v>132866.60421999899</v>
      </c>
      <c r="H488" s="28">
        <f>'[1]PFB tests'!G487</f>
        <v>33.866987499990501</v>
      </c>
      <c r="I488" s="30">
        <f t="shared" si="130"/>
        <v>-3.176117135432848E-8</v>
      </c>
      <c r="J488" s="30">
        <f t="shared" si="133"/>
        <v>0.15504811285653838</v>
      </c>
      <c r="K488" s="28">
        <f>'[1]Gurobi tests'!F432</f>
        <v>134336.18400000001</v>
      </c>
      <c r="L488" s="32">
        <f>'[1]Gurobi tests'!G432</f>
        <v>3704.16</v>
      </c>
      <c r="M488" s="29">
        <f>'[1]Gurobi tests'!H432/100</f>
        <v>0.23386713119224598</v>
      </c>
      <c r="N488" s="29">
        <f t="shared" si="131"/>
        <v>-1.0939599117985982E-2</v>
      </c>
      <c r="O488" s="29">
        <f t="shared" si="132"/>
        <v>-0.98943944106086135</v>
      </c>
      <c r="P488" s="14"/>
      <c r="Q488" s="20"/>
      <c r="R488" s="20"/>
      <c r="S488" s="2"/>
      <c r="T488" s="2"/>
      <c r="U488" s="2"/>
    </row>
    <row r="489" spans="1:21" x14ac:dyDescent="0.2">
      <c r="A489" s="19" t="s">
        <v>173</v>
      </c>
      <c r="B489" s="14">
        <v>2400</v>
      </c>
      <c r="C489" s="28">
        <f>[1]ALNS!Z142</f>
        <v>152332.85</v>
      </c>
      <c r="D489" s="28">
        <f>[1]ALNS!AA142</f>
        <v>152332.85</v>
      </c>
      <c r="E489" s="29">
        <f>[1]ALNS!AD142</f>
        <v>0</v>
      </c>
      <c r="F489" s="28">
        <f>[1]ALNS!AE142</f>
        <v>59.037999999999997</v>
      </c>
      <c r="G489" s="28">
        <f>'[1]PFB tests'!F488</f>
        <v>152307.10810999901</v>
      </c>
      <c r="H489" s="28">
        <f>'[1]PFB tests'!G488</f>
        <v>45.338995707978</v>
      </c>
      <c r="I489" s="30">
        <f t="shared" si="130"/>
        <v>1.6901305737092092E-4</v>
      </c>
      <c r="J489" s="30">
        <f t="shared" si="133"/>
        <v>0.30214617854033043</v>
      </c>
      <c r="K489" s="28">
        <f>'[1]Gurobi tests'!F433</f>
        <v>154605.323999999</v>
      </c>
      <c r="L489" s="32">
        <f>'[1]Gurobi tests'!G433</f>
        <v>3741.08</v>
      </c>
      <c r="M489" s="29">
        <f>'[1]Gurobi tests'!H433/100</f>
        <v>0.23443125861468</v>
      </c>
      <c r="N489" s="29">
        <f t="shared" si="131"/>
        <v>-1.4698549449687855E-2</v>
      </c>
      <c r="O489" s="29">
        <f t="shared" si="132"/>
        <v>-0.98421899558416281</v>
      </c>
      <c r="P489" s="14"/>
      <c r="Q489" s="20"/>
      <c r="R489" s="20"/>
      <c r="S489" s="2"/>
      <c r="T489" s="2"/>
      <c r="U489" s="2"/>
    </row>
    <row r="490" spans="1:21" x14ac:dyDescent="0.2">
      <c r="A490" s="19" t="s">
        <v>174</v>
      </c>
      <c r="B490" s="14">
        <v>2400</v>
      </c>
      <c r="C490" s="28">
        <f>[1]ALNS!Z143</f>
        <v>176659.73</v>
      </c>
      <c r="D490" s="28">
        <f>[1]ALNS!AA143</f>
        <v>176659.73</v>
      </c>
      <c r="E490" s="29">
        <f>[1]ALNS!AD143</f>
        <v>0</v>
      </c>
      <c r="F490" s="28">
        <f>[1]ALNS!AE143</f>
        <v>68.444000000000003</v>
      </c>
      <c r="G490" s="28">
        <f>'[1]PFB tests'!F489</f>
        <v>176633.96410999901</v>
      </c>
      <c r="H490" s="28">
        <f>'[1]PFB tests'!G489</f>
        <v>76.9485491669911</v>
      </c>
      <c r="I490" s="30">
        <f t="shared" si="130"/>
        <v>1.4587166251306836E-4</v>
      </c>
      <c r="J490" s="30">
        <f t="shared" si="133"/>
        <v>-0.11052254082835034</v>
      </c>
      <c r="K490" s="28">
        <f>'[1]Gurobi tests'!F434</f>
        <v>183182.84400000001</v>
      </c>
      <c r="L490" s="32">
        <f>'[1]Gurobi tests'!G434</f>
        <v>3835.76</v>
      </c>
      <c r="M490" s="29">
        <f>'[1]Gurobi tests'!H434/100</f>
        <v>0.27111989125580199</v>
      </c>
      <c r="N490" s="29">
        <f t="shared" si="131"/>
        <v>-3.5609852197730926E-2</v>
      </c>
      <c r="O490" s="29">
        <f t="shared" si="132"/>
        <v>-0.98215633929130086</v>
      </c>
      <c r="P490" s="14"/>
      <c r="Q490" s="20"/>
      <c r="R490" s="20"/>
      <c r="S490" s="2"/>
      <c r="T490" s="2"/>
      <c r="U490" s="2"/>
    </row>
    <row r="491" spans="1:21" x14ac:dyDescent="0.2">
      <c r="A491" s="19" t="s">
        <v>175</v>
      </c>
      <c r="B491" s="14">
        <v>2400</v>
      </c>
      <c r="C491" s="28">
        <f>[1]ALNS!Z144</f>
        <v>183078.72199999998</v>
      </c>
      <c r="D491" s="28">
        <f>[1]ALNS!AA144</f>
        <v>183068.34</v>
      </c>
      <c r="E491" s="29">
        <f>[1]ALNS!AD144</f>
        <v>1.2680259884272288E-4</v>
      </c>
      <c r="F491" s="28">
        <f>[1]ALNS!AE144</f>
        <v>79.294000000000011</v>
      </c>
      <c r="G491" s="28">
        <f>'[1]PFB tests'!F490</f>
        <v>183012.75610999999</v>
      </c>
      <c r="H491" s="28">
        <f>'[1]PFB tests'!G490</f>
        <v>359.82374079199502</v>
      </c>
      <c r="I491" s="30">
        <f t="shared" si="130"/>
        <v>3.6044421931082966E-4</v>
      </c>
      <c r="J491" s="30">
        <f t="shared" si="133"/>
        <v>-0.77963099425994276</v>
      </c>
      <c r="K491" s="28">
        <f>'[1]Gurobi tests'!F435</f>
        <v>185364.96</v>
      </c>
      <c r="L491" s="32">
        <f>'[1]Gurobi tests'!G435</f>
        <v>3890.59</v>
      </c>
      <c r="M491" s="29">
        <f>'[1]Gurobi tests'!H435/100</f>
        <v>0.22239907669832298</v>
      </c>
      <c r="N491" s="29">
        <f t="shared" si="131"/>
        <v>-1.2333711829894994E-2</v>
      </c>
      <c r="O491" s="29">
        <f t="shared" si="132"/>
        <v>-0.97961902950452251</v>
      </c>
      <c r="P491" s="14"/>
      <c r="Q491" s="20"/>
      <c r="R491" s="20"/>
      <c r="S491" s="2"/>
      <c r="T491" s="2"/>
      <c r="U491" s="2"/>
    </row>
    <row r="492" spans="1:21" x14ac:dyDescent="0.2">
      <c r="A492" s="19" t="s">
        <v>176</v>
      </c>
      <c r="B492" s="14">
        <v>2400</v>
      </c>
      <c r="C492" s="28">
        <f>[1]ALNS!Z145</f>
        <v>200122.67</v>
      </c>
      <c r="D492" s="28">
        <f>[1]ALNS!AA145</f>
        <v>199855.98</v>
      </c>
      <c r="E492" s="29">
        <f>[1]ALNS!AD145</f>
        <v>2.559364287645857E-3</v>
      </c>
      <c r="F492" s="28">
        <f>[1]ALNS!AE145</f>
        <v>70.964000000000013</v>
      </c>
      <c r="G492" s="28">
        <f>'[1]PFB tests'!F491</f>
        <v>199826.18416500001</v>
      </c>
      <c r="H492" s="28">
        <f>'[1]PFB tests'!G491</f>
        <v>5295.3246880829902</v>
      </c>
      <c r="I492" s="30"/>
      <c r="J492" s="30"/>
      <c r="K492" s="28">
        <f>'[1]Gurobi tests'!F436</f>
        <v>207691.114728427</v>
      </c>
      <c r="L492" s="32">
        <f>'[1]Gurobi tests'!G436</f>
        <v>4026.15</v>
      </c>
      <c r="M492" s="29">
        <f>'[1]Gurobi tests'!H436/100</f>
        <v>0.265148334277854</v>
      </c>
      <c r="N492" s="29">
        <f>(C492-K492)/K492</f>
        <v>-3.6440869116251509E-2</v>
      </c>
      <c r="O492" s="29">
        <f>(F492-L492)/L492</f>
        <v>-0.98237422848130351</v>
      </c>
      <c r="P492" s="14"/>
      <c r="Q492" s="20"/>
      <c r="R492" s="20"/>
      <c r="S492" s="4"/>
      <c r="T492" s="2"/>
      <c r="U492" s="2"/>
    </row>
    <row r="493" spans="1:21" x14ac:dyDescent="0.2">
      <c r="A493" s="19" t="s">
        <v>250</v>
      </c>
      <c r="B493" s="14">
        <v>2400</v>
      </c>
      <c r="C493" s="28">
        <f>[1]ALNS!Z146</f>
        <v>212088.55</v>
      </c>
      <c r="D493" s="28">
        <f>[1]ALNS!AA146</f>
        <v>212088.55</v>
      </c>
      <c r="E493" s="29">
        <f>[1]ALNS!AD146</f>
        <v>0</v>
      </c>
      <c r="F493" s="28">
        <f>[1]ALNS!AE146</f>
        <v>98.796000000000006</v>
      </c>
      <c r="G493" s="32"/>
      <c r="H493" s="32"/>
      <c r="I493" s="32"/>
      <c r="J493" s="32"/>
      <c r="K493" s="28">
        <f>'[1]Gurobi tests'!F437</f>
        <v>234967.992</v>
      </c>
      <c r="L493" s="32">
        <f>'[1]Gurobi tests'!G437</f>
        <v>4139.28</v>
      </c>
      <c r="M493" s="29">
        <f>'[1]Gurobi tests'!H437/100</f>
        <v>0.32123436747706402</v>
      </c>
      <c r="N493" s="29">
        <f>(C493-K493)/K493</f>
        <v>-9.7372590220714025E-2</v>
      </c>
      <c r="O493" s="29">
        <f>(F493-L493)/L493</f>
        <v>-0.97613208094161308</v>
      </c>
      <c r="P493" s="14"/>
      <c r="Q493" s="20"/>
      <c r="R493" s="20"/>
      <c r="S493" s="4"/>
      <c r="T493" s="2"/>
      <c r="U493" s="2"/>
    </row>
    <row r="494" spans="1:21" ht="17" x14ac:dyDescent="0.2">
      <c r="A494" s="19" t="s">
        <v>178</v>
      </c>
      <c r="B494" s="14">
        <v>2400</v>
      </c>
      <c r="C494" s="28">
        <f>[1]ALNS!Z147</f>
        <v>230776.24</v>
      </c>
      <c r="D494" s="28">
        <f>[1]ALNS!AA147</f>
        <v>230776.24</v>
      </c>
      <c r="E494" s="29">
        <f>[1]ALNS!AD147</f>
        <v>0</v>
      </c>
      <c r="F494" s="28">
        <f>[1]ALNS!AE147</f>
        <v>88.686000000000007</v>
      </c>
      <c r="G494" s="32"/>
      <c r="H494" s="32"/>
      <c r="I494" s="32"/>
      <c r="J494" s="32"/>
      <c r="K494" s="28" t="str">
        <f>'[1]Gurobi tests'!F438</f>
        <v>Infeasible</v>
      </c>
      <c r="L494" s="32">
        <f>'[1]Gurobi tests'!G438</f>
        <v>4163.2464</v>
      </c>
      <c r="M494" s="29" t="s">
        <v>32</v>
      </c>
      <c r="N494" s="29" t="s">
        <v>32</v>
      </c>
      <c r="O494" s="29">
        <f>(F494-L494)/L494</f>
        <v>-0.97869787385152118</v>
      </c>
      <c r="P494" s="14"/>
      <c r="Q494" s="20"/>
      <c r="R494" s="20"/>
      <c r="S494" s="4"/>
      <c r="T494" s="2"/>
      <c r="U494" s="2"/>
    </row>
    <row r="495" spans="1:21" x14ac:dyDescent="0.2">
      <c r="A495" s="14"/>
      <c r="B495" s="14"/>
      <c r="C495" s="28"/>
      <c r="D495" s="28"/>
      <c r="E495" s="29"/>
      <c r="F495" s="28"/>
      <c r="G495" s="32"/>
      <c r="H495" s="32"/>
      <c r="I495" s="32"/>
      <c r="J495" s="32"/>
      <c r="K495" s="32"/>
      <c r="L495" s="32"/>
      <c r="M495" s="32"/>
      <c r="N495" s="32"/>
      <c r="O495" s="32"/>
      <c r="P495" s="14"/>
      <c r="Q495" s="20"/>
      <c r="R495" s="20"/>
      <c r="S495" s="4"/>
      <c r="T495" s="2"/>
      <c r="U495" s="2"/>
    </row>
    <row r="496" spans="1:21" x14ac:dyDescent="0.2">
      <c r="A496" s="19" t="s">
        <v>179</v>
      </c>
      <c r="B496" s="14">
        <v>2400</v>
      </c>
      <c r="C496" s="28">
        <f>[1]ALNS!Z149</f>
        <v>76692.34</v>
      </c>
      <c r="D496" s="28">
        <f>[1]ALNS!AA149</f>
        <v>76692.34</v>
      </c>
      <c r="E496" s="29">
        <f>[1]ALNS!AD149</f>
        <v>0</v>
      </c>
      <c r="F496" s="28">
        <f>[1]ALNS!AE149</f>
        <v>16.310000000000002</v>
      </c>
      <c r="G496" s="28">
        <f>'[1]PFB tests'!F495</f>
        <v>76692.344749999902</v>
      </c>
      <c r="H496" s="28">
        <f>'[1]PFB tests'!G495</f>
        <v>15.0985609999916</v>
      </c>
      <c r="I496" s="30">
        <f t="shared" ref="I496:I502" si="134">(C496-G496)/G496</f>
        <v>-6.1935776262346764E-8</v>
      </c>
      <c r="J496" s="30">
        <f>(F496-H496)/H496</f>
        <v>8.0235394618671046E-2</v>
      </c>
      <c r="K496" s="28">
        <f>'[1]Gurobi tests'!F440</f>
        <v>76692.344630000007</v>
      </c>
      <c r="L496" s="28">
        <f>'[1]Gurobi tests'!G440</f>
        <v>209.75</v>
      </c>
      <c r="M496" s="29">
        <f>'[1]Gurobi tests'!H440/100</f>
        <v>0</v>
      </c>
      <c r="N496" s="29">
        <f>(C496-K496)/K496</f>
        <v>-6.0371084398357112E-8</v>
      </c>
      <c r="O496" s="29">
        <f t="shared" ref="O496:O498" si="135">(F496-L496)/L496</f>
        <v>-0.92224076281287248</v>
      </c>
      <c r="P496" s="14"/>
      <c r="Q496" s="20"/>
      <c r="R496" s="20"/>
      <c r="S496" s="4"/>
      <c r="T496" s="2"/>
      <c r="U496" s="2"/>
    </row>
    <row r="497" spans="1:21" x14ac:dyDescent="0.2">
      <c r="A497" s="19" t="s">
        <v>180</v>
      </c>
      <c r="B497" s="14">
        <v>2400</v>
      </c>
      <c r="C497" s="28">
        <f>[1]ALNS!Z150</f>
        <v>118457.29</v>
      </c>
      <c r="D497" s="28">
        <f>[1]ALNS!AA150</f>
        <v>118457.29</v>
      </c>
      <c r="E497" s="29">
        <f>[1]ALNS!AD150</f>
        <v>0</v>
      </c>
      <c r="F497" s="28">
        <f>[1]ALNS!AE150</f>
        <v>31.405999999999999</v>
      </c>
      <c r="G497" s="28">
        <f>'[1]PFB tests'!F496</f>
        <v>128975.51924999899</v>
      </c>
      <c r="H497" s="28">
        <f>'[1]PFB tests'!G496</f>
        <v>24.569550583982998</v>
      </c>
      <c r="I497" s="30">
        <f t="shared" si="134"/>
        <v>-8.1552137267313862E-2</v>
      </c>
      <c r="J497" s="30">
        <f t="shared" ref="J497:J502" si="136">(F497-H497)/H497</f>
        <v>0.27824885899515445</v>
      </c>
      <c r="K497" s="28">
        <f>'[1]Gurobi tests'!F441</f>
        <v>118477.899768036</v>
      </c>
      <c r="L497" s="28">
        <f>'[1]Gurobi tests'!G441</f>
        <v>3628.42</v>
      </c>
      <c r="M497" s="29">
        <f>'[1]Gurobi tests'!H441/100</f>
        <v>0.250708040821011</v>
      </c>
      <c r="N497" s="29">
        <f>(C497-K497)/K497</f>
        <v>-1.7395453562531055E-4</v>
      </c>
      <c r="O497" s="29">
        <f t="shared" si="135"/>
        <v>-0.99134444193340354</v>
      </c>
      <c r="P497" s="14"/>
      <c r="Q497" s="20"/>
      <c r="R497" s="20"/>
      <c r="S497" s="4"/>
      <c r="T497" s="2"/>
      <c r="U497" s="2"/>
    </row>
    <row r="498" spans="1:21" x14ac:dyDescent="0.2">
      <c r="A498" s="19" t="s">
        <v>181</v>
      </c>
      <c r="B498" s="14">
        <v>2400</v>
      </c>
      <c r="C498" s="28">
        <f>[1]ALNS!Z151</f>
        <v>143463.82</v>
      </c>
      <c r="D498" s="28">
        <f>[1]ALNS!AA151</f>
        <v>143463.82</v>
      </c>
      <c r="E498" s="29">
        <f>[1]ALNS!AD151</f>
        <v>0</v>
      </c>
      <c r="F498" s="28">
        <f>[1]ALNS!AE151</f>
        <v>47.760000000000005</v>
      </c>
      <c r="G498" s="28">
        <f>'[1]PFB tests'!F497</f>
        <v>146377.42174999899</v>
      </c>
      <c r="H498" s="28">
        <f>'[1]PFB tests'!G497</f>
        <v>28.806364707998</v>
      </c>
      <c r="I498" s="30">
        <f t="shared" si="134"/>
        <v>-1.9904721063984741E-2</v>
      </c>
      <c r="J498" s="30">
        <f t="shared" si="136"/>
        <v>0.65796692793865741</v>
      </c>
      <c r="K498" s="28">
        <f>'[1]Gurobi tests'!F442</f>
        <v>148758.69289305201</v>
      </c>
      <c r="L498" s="28">
        <f>'[1]Gurobi tests'!G442</f>
        <v>3644.92</v>
      </c>
      <c r="M498" s="29">
        <f>'[1]Gurobi tests'!H442/100</f>
        <v>0.28327613697801601</v>
      </c>
      <c r="N498" s="29">
        <f>(C498-K498)/K498</f>
        <v>-3.5593704072532262E-2</v>
      </c>
      <c r="O498" s="29">
        <f t="shared" si="135"/>
        <v>-0.98689683175488074</v>
      </c>
      <c r="P498" s="14"/>
      <c r="Q498" s="20"/>
      <c r="R498" s="20"/>
      <c r="S498" s="4"/>
      <c r="T498" s="2"/>
      <c r="U498" s="2"/>
    </row>
    <row r="499" spans="1:21" ht="17" x14ac:dyDescent="0.2">
      <c r="A499" s="19" t="s">
        <v>182</v>
      </c>
      <c r="B499" s="14">
        <v>2400</v>
      </c>
      <c r="C499" s="28">
        <f>[1]ALNS!Z152</f>
        <v>168205.37</v>
      </c>
      <c r="D499" s="28">
        <f>[1]ALNS!AA152</f>
        <v>168205.37</v>
      </c>
      <c r="E499" s="29">
        <f>[1]ALNS!AD152</f>
        <v>0</v>
      </c>
      <c r="F499" s="28">
        <f>[1]ALNS!AE152</f>
        <v>57.334000000000003</v>
      </c>
      <c r="G499" s="28">
        <f>'[1]PFB tests'!F498</f>
        <v>170174.408</v>
      </c>
      <c r="H499" s="28">
        <f>'[1]PFB tests'!G498</f>
        <v>40.0804634579981</v>
      </c>
      <c r="I499" s="30">
        <f t="shared" si="134"/>
        <v>-1.1570705743251362E-2</v>
      </c>
      <c r="J499" s="30">
        <f t="shared" si="136"/>
        <v>0.4304724809403106</v>
      </c>
      <c r="K499" s="28">
        <f>'[1]Gurobi tests'!F443</f>
        <v>170245.620999999</v>
      </c>
      <c r="L499" s="28">
        <f>'[1]Gurobi tests'!G443</f>
        <v>3703.19</v>
      </c>
      <c r="M499" s="29">
        <f>'[1]Gurobi tests'!H443/100</f>
        <v>0.26522471395575198</v>
      </c>
      <c r="N499" s="29" t="s">
        <v>32</v>
      </c>
      <c r="O499" s="29">
        <f>(F499-L499)/L499</f>
        <v>-0.98451767260118983</v>
      </c>
      <c r="P499" s="14"/>
      <c r="Q499" s="20"/>
      <c r="R499" s="20"/>
      <c r="S499" s="4"/>
      <c r="T499" s="2"/>
      <c r="U499" s="2"/>
    </row>
    <row r="500" spans="1:21" ht="17" x14ac:dyDescent="0.2">
      <c r="A500" s="19" t="s">
        <v>225</v>
      </c>
      <c r="B500" s="14">
        <v>2400</v>
      </c>
      <c r="C500" s="28">
        <f>[1]ALNS!Z153</f>
        <v>194437.07599999997</v>
      </c>
      <c r="D500" s="28">
        <f>[1]ALNS!AA153</f>
        <v>194436.95</v>
      </c>
      <c r="E500" s="29">
        <f>[1]ALNS!AD153</f>
        <v>1.4490269600332829E-6</v>
      </c>
      <c r="F500" s="28">
        <f>[1]ALNS!AE153</f>
        <v>99.721999999999994</v>
      </c>
      <c r="G500" s="28">
        <f>'[1]PFB tests'!F499</f>
        <v>197472.23299999899</v>
      </c>
      <c r="H500" s="28">
        <f>'[1]PFB tests'!G499</f>
        <v>78.168775208003296</v>
      </c>
      <c r="I500" s="30">
        <f t="shared" si="134"/>
        <v>-1.5370044455814871E-2</v>
      </c>
      <c r="J500" s="30">
        <f t="shared" si="136"/>
        <v>0.27572678137331202</v>
      </c>
      <c r="K500" s="28" t="str">
        <f>'[1]Gurobi tests'!F444</f>
        <v>Infeasible</v>
      </c>
      <c r="L500" s="28">
        <f>'[1]Gurobi tests'!G444</f>
        <v>3740.04</v>
      </c>
      <c r="M500" s="29" t="s">
        <v>32</v>
      </c>
      <c r="N500" s="29" t="s">
        <v>32</v>
      </c>
      <c r="O500" s="29">
        <f>(F500-L500)/L500</f>
        <v>-0.9733366488058951</v>
      </c>
      <c r="P500" s="14"/>
      <c r="Q500" s="20"/>
      <c r="R500" s="20"/>
      <c r="S500" s="4"/>
      <c r="T500" s="2"/>
      <c r="U500" s="2"/>
    </row>
    <row r="501" spans="1:21" ht="17" x14ac:dyDescent="0.2">
      <c r="A501" s="19" t="s">
        <v>184</v>
      </c>
      <c r="B501" s="14">
        <v>2400</v>
      </c>
      <c r="C501" s="28">
        <f>[1]ALNS!Z154</f>
        <v>221203.33</v>
      </c>
      <c r="D501" s="28">
        <f>[1]ALNS!AA154</f>
        <v>221203.33</v>
      </c>
      <c r="E501" s="29">
        <f>[1]ALNS!AD154</f>
        <v>0</v>
      </c>
      <c r="F501" s="28">
        <f>[1]ALNS!AE154</f>
        <v>98.274000000000001</v>
      </c>
      <c r="G501" s="28">
        <f>'[1]PFB tests'!F500</f>
        <v>222581.821749986</v>
      </c>
      <c r="H501" s="28">
        <f>'[1]PFB tests'!G500</f>
        <v>160.949017542006</v>
      </c>
      <c r="I501" s="30">
        <f t="shared" si="134"/>
        <v>-6.1931910663144858E-3</v>
      </c>
      <c r="J501" s="30">
        <f t="shared" si="136"/>
        <v>-0.38940913401753746</v>
      </c>
      <c r="K501" s="28" t="str">
        <f>'[1]Gurobi tests'!F445</f>
        <v>Infeasible</v>
      </c>
      <c r="L501" s="28">
        <f>'[1]Gurobi tests'!G445</f>
        <v>3831.23</v>
      </c>
      <c r="M501" s="29" t="s">
        <v>32</v>
      </c>
      <c r="N501" s="32" t="s">
        <v>32</v>
      </c>
      <c r="O501" s="29">
        <f>(F501-L501)/L501</f>
        <v>-0.97434922988178729</v>
      </c>
      <c r="P501" s="14"/>
      <c r="Q501" s="20"/>
      <c r="R501" s="20"/>
      <c r="S501" s="4"/>
      <c r="T501" s="2"/>
      <c r="U501" s="2"/>
    </row>
    <row r="502" spans="1:21" ht="17" x14ac:dyDescent="0.2">
      <c r="A502" s="19" t="s">
        <v>185</v>
      </c>
      <c r="B502" s="14">
        <v>2400</v>
      </c>
      <c r="C502" s="28">
        <f>[1]ALNS!Z155</f>
        <v>229905.55</v>
      </c>
      <c r="D502" s="28">
        <f>[1]ALNS!AA155</f>
        <v>229905.55</v>
      </c>
      <c r="E502" s="29">
        <f>[1]ALNS!AD155</f>
        <v>0</v>
      </c>
      <c r="F502" s="28">
        <f>[1]ALNS!AE155</f>
        <v>123.27799999999999</v>
      </c>
      <c r="G502" s="28">
        <f>'[1]PFB tests'!F501</f>
        <v>232574.07649999901</v>
      </c>
      <c r="H502" s="28">
        <f>'[1]PFB tests'!G501</f>
        <v>847.76200633301005</v>
      </c>
      <c r="I502" s="30">
        <f t="shared" si="134"/>
        <v>-1.1473877657207547E-2</v>
      </c>
      <c r="J502" s="30">
        <f t="shared" si="136"/>
        <v>-0.85458418862949714</v>
      </c>
      <c r="K502" s="58" t="s">
        <v>15</v>
      </c>
      <c r="L502" s="58" t="s">
        <v>32</v>
      </c>
      <c r="M502" s="59" t="s">
        <v>32</v>
      </c>
      <c r="N502" s="59" t="s">
        <v>32</v>
      </c>
      <c r="O502" s="32" t="s">
        <v>32</v>
      </c>
      <c r="P502" s="14"/>
      <c r="Q502" s="20"/>
      <c r="R502" s="20"/>
      <c r="S502" s="4"/>
      <c r="T502" s="2"/>
      <c r="U502" s="2"/>
    </row>
    <row r="503" spans="1:21" ht="17" x14ac:dyDescent="0.2">
      <c r="A503" s="19" t="s">
        <v>186</v>
      </c>
      <c r="B503" s="14">
        <v>2400</v>
      </c>
      <c r="C503" s="28">
        <f>[1]ALNS!Z156</f>
        <v>253873.17599999998</v>
      </c>
      <c r="D503" s="28">
        <f>[1]ALNS!AA156</f>
        <v>253822.9</v>
      </c>
      <c r="E503" s="29">
        <f>[1]ALNS!AD156</f>
        <v>2.8088438066975236E-4</v>
      </c>
      <c r="F503" s="28">
        <f>[1]ALNS!AE156</f>
        <v>200.702</v>
      </c>
      <c r="G503" s="28">
        <f>'[1]PFB tests'!F502</f>
        <v>255728.434749999</v>
      </c>
      <c r="H503" s="28">
        <f>'[1]PFB tests'!G502</f>
        <v>6226.7822444169997</v>
      </c>
      <c r="I503" s="30"/>
      <c r="J503" s="30"/>
      <c r="K503" s="58" t="s">
        <v>15</v>
      </c>
      <c r="L503" s="58" t="s">
        <v>32</v>
      </c>
      <c r="M503" s="59" t="s">
        <v>32</v>
      </c>
      <c r="N503" s="59" t="s">
        <v>32</v>
      </c>
      <c r="O503" s="32" t="s">
        <v>32</v>
      </c>
      <c r="P503" s="14"/>
      <c r="Q503" s="20"/>
      <c r="R503" s="20"/>
      <c r="S503" s="4"/>
      <c r="T503" s="2"/>
      <c r="U503" s="2"/>
    </row>
    <row r="504" spans="1:21" ht="17" x14ac:dyDescent="0.2">
      <c r="A504" s="19" t="s">
        <v>187</v>
      </c>
      <c r="B504" s="14">
        <v>2400</v>
      </c>
      <c r="C504" s="28">
        <f>[1]ALNS!Z157</f>
        <v>266958.07</v>
      </c>
      <c r="D504" s="28">
        <f>[1]ALNS!AA157</f>
        <v>266958.07</v>
      </c>
      <c r="E504" s="29">
        <f>[1]ALNS!AD157</f>
        <v>0</v>
      </c>
      <c r="F504" s="28">
        <f>[1]ALNS!AE157</f>
        <v>157.68</v>
      </c>
      <c r="G504" s="58" t="s">
        <v>15</v>
      </c>
      <c r="H504" s="58" t="s">
        <v>32</v>
      </c>
      <c r="I504" s="59" t="s">
        <v>32</v>
      </c>
      <c r="J504" s="59" t="s">
        <v>32</v>
      </c>
      <c r="K504" s="58" t="s">
        <v>15</v>
      </c>
      <c r="L504" s="58" t="s">
        <v>32</v>
      </c>
      <c r="M504" s="59" t="s">
        <v>32</v>
      </c>
      <c r="N504" s="59" t="s">
        <v>32</v>
      </c>
      <c r="O504" s="32" t="s">
        <v>32</v>
      </c>
      <c r="P504" s="14"/>
      <c r="Q504" s="20"/>
      <c r="R504" s="20"/>
      <c r="S504" s="4"/>
      <c r="T504" s="2"/>
      <c r="U504" s="2"/>
    </row>
    <row r="505" spans="1:21" ht="17" x14ac:dyDescent="0.2">
      <c r="A505" s="19" t="s">
        <v>188</v>
      </c>
      <c r="B505" s="14">
        <v>2400</v>
      </c>
      <c r="C505" s="28">
        <f>[1]ALNS!Z158</f>
        <v>291944.15000000002</v>
      </c>
      <c r="D505" s="28">
        <f>[1]ALNS!AA158</f>
        <v>290784.52</v>
      </c>
      <c r="E505" s="29">
        <f>[1]ALNS!AD158</f>
        <v>5.4391968465999901E-3</v>
      </c>
      <c r="F505" s="28">
        <f>[1]ALNS!AE158</f>
        <v>164.322</v>
      </c>
      <c r="G505" s="58" t="s">
        <v>15</v>
      </c>
      <c r="H505" s="58" t="s">
        <v>32</v>
      </c>
      <c r="I505" s="59" t="s">
        <v>32</v>
      </c>
      <c r="J505" s="59" t="s">
        <v>32</v>
      </c>
      <c r="K505" s="58" t="s">
        <v>15</v>
      </c>
      <c r="L505" s="58" t="s">
        <v>32</v>
      </c>
      <c r="M505" s="59" t="s">
        <v>32</v>
      </c>
      <c r="N505" s="59" t="s">
        <v>32</v>
      </c>
      <c r="O505" s="32" t="s">
        <v>32</v>
      </c>
      <c r="P505" s="14"/>
      <c r="Q505" s="20"/>
      <c r="R505" s="20"/>
      <c r="S505" s="4"/>
      <c r="T505" s="2"/>
      <c r="U505" s="2"/>
    </row>
    <row r="506" spans="1:21" x14ac:dyDescent="0.2">
      <c r="A506" s="19"/>
      <c r="B506" s="14"/>
      <c r="C506" s="28"/>
      <c r="D506" s="28"/>
      <c r="E506" s="29"/>
      <c r="F506" s="28"/>
      <c r="G506" s="32"/>
      <c r="H506" s="32"/>
      <c r="I506" s="32"/>
      <c r="J506" s="32"/>
      <c r="K506" s="32"/>
      <c r="L506" s="32"/>
      <c r="M506" s="32"/>
      <c r="N506" s="32"/>
      <c r="O506" s="32"/>
      <c r="P506" s="14"/>
      <c r="Q506" s="20"/>
      <c r="R506" s="20"/>
      <c r="S506" s="2"/>
      <c r="T506" s="2"/>
      <c r="U506" s="2"/>
    </row>
    <row r="507" spans="1:21" ht="17" x14ac:dyDescent="0.2">
      <c r="A507" s="19" t="s">
        <v>251</v>
      </c>
      <c r="B507" s="14">
        <v>2400</v>
      </c>
      <c r="C507" s="28">
        <f>[1]ALNS!Z160</f>
        <v>126685.93</v>
      </c>
      <c r="D507" s="28">
        <f>[1]ALNS!AA160</f>
        <v>126685.93</v>
      </c>
      <c r="E507" s="29">
        <f>[1]ALNS!AD160</f>
        <v>0</v>
      </c>
      <c r="F507" s="28">
        <f>[1]ALNS!AE160</f>
        <v>29.479999999999997</v>
      </c>
      <c r="G507" s="28" t="str">
        <f>'[1]PFB tests'!F506</f>
        <v>Infeasible</v>
      </c>
      <c r="H507" s="28">
        <f>'[1]PFB tests'!G506</f>
        <v>14.070536332990701</v>
      </c>
      <c r="I507" s="30" t="s">
        <v>32</v>
      </c>
      <c r="J507" s="30">
        <f>(F507-H507)/H507</f>
        <v>1.0951582301009564</v>
      </c>
      <c r="K507" s="28">
        <f>'[1]Gurobi tests'!F451</f>
        <v>126686.74942455201</v>
      </c>
      <c r="L507" s="32">
        <f>'[1]Gurobi tests'!G451</f>
        <v>3619.66</v>
      </c>
      <c r="M507" s="29">
        <f>'[1]Gurobi tests'!H451/100</f>
        <v>0.32495868207938999</v>
      </c>
      <c r="N507" s="29">
        <f>(C507-K507)/K507</f>
        <v>-6.4681156927269793E-6</v>
      </c>
      <c r="O507" s="29">
        <f>(F507-L507)/L507</f>
        <v>-0.99185558864644741</v>
      </c>
      <c r="P507" s="14"/>
      <c r="Q507" s="20"/>
      <c r="R507" s="20"/>
      <c r="S507" s="4"/>
      <c r="T507" s="2"/>
      <c r="U507" s="2"/>
    </row>
    <row r="508" spans="1:21" ht="17" x14ac:dyDescent="0.2">
      <c r="A508" s="19" t="s">
        <v>252</v>
      </c>
      <c r="B508" s="14">
        <v>2400</v>
      </c>
      <c r="C508" s="28">
        <f>[1]ALNS!Z161</f>
        <v>173965.4</v>
      </c>
      <c r="D508" s="28">
        <f>[1]ALNS!AA161</f>
        <v>173965.4</v>
      </c>
      <c r="E508" s="29">
        <f>[1]ALNS!AD161</f>
        <v>0</v>
      </c>
      <c r="F508" s="28">
        <f>[1]ALNS!AE161</f>
        <v>48.341999999999999</v>
      </c>
      <c r="G508" s="28" t="str">
        <f>'[1]PFB tests'!F507</f>
        <v>Infeasible</v>
      </c>
      <c r="H508" s="28">
        <f>'[1]PFB tests'!G507</f>
        <v>18.4089990840002</v>
      </c>
      <c r="I508" s="30" t="s">
        <v>32</v>
      </c>
      <c r="J508" s="30">
        <f t="shared" ref="J508:J513" si="137">(F508-H508)/H508</f>
        <v>1.6259982837424032</v>
      </c>
      <c r="K508" s="32" t="str">
        <f>'[1]Gurobi tests'!F452</f>
        <v>Infeasible</v>
      </c>
      <c r="L508" s="32">
        <f>'[1]Gurobi tests'!G452</f>
        <v>3634.63</v>
      </c>
      <c r="M508" s="29" t="s">
        <v>32</v>
      </c>
      <c r="N508" s="29" t="s">
        <v>32</v>
      </c>
      <c r="O508" s="29">
        <f>(F508-L508)/L508</f>
        <v>-0.98669960903860909</v>
      </c>
      <c r="P508" s="14"/>
      <c r="Q508" s="20"/>
      <c r="R508" s="20"/>
      <c r="S508" s="4"/>
      <c r="T508" s="2"/>
      <c r="U508" s="2"/>
    </row>
    <row r="509" spans="1:21" ht="17" x14ac:dyDescent="0.2">
      <c r="A509" s="19" t="s">
        <v>226</v>
      </c>
      <c r="B509" s="14">
        <v>2400</v>
      </c>
      <c r="C509" s="28">
        <f>[1]ALNS!Z162</f>
        <v>170462.20399999997</v>
      </c>
      <c r="D509" s="28">
        <f>[1]ALNS!AA162</f>
        <v>170202.7</v>
      </c>
      <c r="E509" s="29">
        <f>[1]ALNS!AD162</f>
        <v>8.5102235395399122E-4</v>
      </c>
      <c r="F509" s="28">
        <f>[1]ALNS!AE162</f>
        <v>90.956000000000003</v>
      </c>
      <c r="G509" s="28" t="str">
        <f>'[1]PFB tests'!F508</f>
        <v>Infeasible</v>
      </c>
      <c r="H509" s="28">
        <f>'[1]PFB tests'!G508</f>
        <v>38.266515249997603</v>
      </c>
      <c r="I509" s="30" t="s">
        <v>32</v>
      </c>
      <c r="J509" s="30">
        <f t="shared" si="137"/>
        <v>1.3769083598487766</v>
      </c>
      <c r="K509" s="28">
        <f>'[1]Gurobi tests'!F453</f>
        <v>182590.77932648599</v>
      </c>
      <c r="L509" s="32">
        <f>'[1]Gurobi tests'!G453</f>
        <v>3644.27</v>
      </c>
      <c r="M509" s="29">
        <f>'[1]Gurobi tests'!H453/100</f>
        <v>0.372819698113043</v>
      </c>
      <c r="N509" s="29">
        <f>(C509-K509)/K509</f>
        <v>-6.642490585353833E-2</v>
      </c>
      <c r="O509" s="29">
        <f>(F509-L509)/L509</f>
        <v>-0.97504136630930194</v>
      </c>
      <c r="P509" s="14"/>
      <c r="Q509" s="20"/>
      <c r="R509" s="20"/>
      <c r="S509" s="4"/>
      <c r="T509" s="2"/>
      <c r="U509" s="2"/>
    </row>
    <row r="510" spans="1:21" ht="17" x14ac:dyDescent="0.2">
      <c r="A510" s="19" t="s">
        <v>192</v>
      </c>
      <c r="B510" s="14">
        <v>2400</v>
      </c>
      <c r="C510" s="28">
        <f>[1]ALNS!Z163</f>
        <v>196337.91</v>
      </c>
      <c r="D510" s="28">
        <f>[1]ALNS!AA163</f>
        <v>196337.91</v>
      </c>
      <c r="E510" s="29">
        <f>[1]ALNS!AD163</f>
        <v>0</v>
      </c>
      <c r="F510" s="28">
        <f>[1]ALNS!AE163</f>
        <v>108.48999999999998</v>
      </c>
      <c r="G510" s="28">
        <f>'[1]PFB tests'!F509</f>
        <v>204910.74954999899</v>
      </c>
      <c r="H510" s="28">
        <f>'[1]PFB tests'!G509</f>
        <v>43.379263165988903</v>
      </c>
      <c r="I510" s="30">
        <f>(C510-G510)/G510</f>
        <v>-4.1836943980858264E-2</v>
      </c>
      <c r="J510" s="30">
        <f t="shared" si="137"/>
        <v>1.5009645642174145</v>
      </c>
      <c r="K510" s="28">
        <f>'[1]Gurobi tests'!F454</f>
        <v>230741.36774999401</v>
      </c>
      <c r="L510" s="32">
        <f>'[1]Gurobi tests'!G454</f>
        <v>3704.34</v>
      </c>
      <c r="M510" s="29">
        <f>'[1]Gurobi tests'!H454/100</f>
        <v>0.41727914354463796</v>
      </c>
      <c r="N510" s="29" t="s">
        <v>32</v>
      </c>
      <c r="O510" s="29">
        <f>(F510-L510)/L510</f>
        <v>-0.97071273155271931</v>
      </c>
      <c r="P510" s="14"/>
      <c r="Q510" s="20"/>
      <c r="R510" s="20"/>
      <c r="S510" s="4"/>
      <c r="T510" s="2"/>
      <c r="U510" s="2"/>
    </row>
    <row r="511" spans="1:21" ht="17" x14ac:dyDescent="0.2">
      <c r="A511" s="19" t="s">
        <v>227</v>
      </c>
      <c r="B511" s="14">
        <v>2400</v>
      </c>
      <c r="C511" s="28">
        <f>[1]ALNS!Z164</f>
        <v>241973.17600000004</v>
      </c>
      <c r="D511" s="28">
        <f>[1]ALNS!AA164</f>
        <v>241398.31</v>
      </c>
      <c r="E511" s="29">
        <f>[1]ALNS!AD164</f>
        <v>5.3123221143875935E-3</v>
      </c>
      <c r="F511" s="28">
        <f>[1]ALNS!AE164</f>
        <v>183.88400000000001</v>
      </c>
      <c r="G511" s="28">
        <f>'[1]PFB tests'!F510</f>
        <v>255712.77329999901</v>
      </c>
      <c r="H511" s="28">
        <f>'[1]PFB tests'!G510</f>
        <v>70.242886459018294</v>
      </c>
      <c r="I511" s="30">
        <f>(C511-G511)/G511</f>
        <v>-5.3730586558849186E-2</v>
      </c>
      <c r="J511" s="30">
        <f t="shared" si="137"/>
        <v>1.6178309188259681</v>
      </c>
      <c r="K511" s="28" t="str">
        <f>'[1]Gurobi tests'!F455</f>
        <v>Infeasible</v>
      </c>
      <c r="L511" s="32">
        <f>'[1]Gurobi tests'!G455</f>
        <v>3738.14</v>
      </c>
      <c r="M511" s="29" t="s">
        <v>32</v>
      </c>
      <c r="N511" s="29" t="s">
        <v>32</v>
      </c>
      <c r="O511" s="29">
        <f>(F511-L511)/L511</f>
        <v>-0.95080869095325482</v>
      </c>
      <c r="P511" s="14"/>
      <c r="Q511" s="20"/>
      <c r="R511" s="20"/>
      <c r="S511" s="4"/>
      <c r="T511" s="2"/>
      <c r="U511" s="2"/>
    </row>
    <row r="512" spans="1:21" ht="17" x14ac:dyDescent="0.2">
      <c r="A512" s="19" t="s">
        <v>228</v>
      </c>
      <c r="B512" s="14">
        <v>2400</v>
      </c>
      <c r="C512" s="28">
        <f>[1]ALNS!Z165</f>
        <v>257393.038</v>
      </c>
      <c r="D512" s="28">
        <f>[1]ALNS!AA165</f>
        <v>257041.99</v>
      </c>
      <c r="E512" s="29">
        <f>[1]ALNS!AD165</f>
        <v>1.8681741519331371E-3</v>
      </c>
      <c r="F512" s="28">
        <f>[1]ALNS!AE165</f>
        <v>175.66</v>
      </c>
      <c r="G512" s="28">
        <f>'[1]PFB tests'!F511</f>
        <v>265366.18409999798</v>
      </c>
      <c r="H512" s="28">
        <f>'[1]PFB tests'!G511</f>
        <v>146.73961400002</v>
      </c>
      <c r="I512" s="30">
        <f>(C512-G512)/G512</f>
        <v>-3.0045825646697524E-2</v>
      </c>
      <c r="J512" s="30">
        <f t="shared" si="137"/>
        <v>0.19708642548273336</v>
      </c>
      <c r="K512" s="28" t="str">
        <f>'[1]Gurobi tests'!F456</f>
        <v>Infeasible</v>
      </c>
      <c r="L512" s="32">
        <f>'[1]Gurobi tests'!G456</f>
        <v>3829.61</v>
      </c>
      <c r="M512" s="29" t="s">
        <v>32</v>
      </c>
      <c r="N512" s="32" t="s">
        <v>32</v>
      </c>
      <c r="O512" s="32" t="s">
        <v>32</v>
      </c>
      <c r="P512" s="14"/>
      <c r="Q512" s="20"/>
      <c r="R512" s="20"/>
      <c r="S512" s="4"/>
      <c r="T512" s="2"/>
      <c r="U512" s="2"/>
    </row>
    <row r="513" spans="1:21" ht="17" x14ac:dyDescent="0.2">
      <c r="A513" s="19" t="s">
        <v>229</v>
      </c>
      <c r="B513" s="14">
        <v>2400</v>
      </c>
      <c r="C513" s="28">
        <f>[1]ALNS!Z166</f>
        <v>274168.24</v>
      </c>
      <c r="D513" s="28">
        <f>[1]ALNS!AA166</f>
        <v>273755.05</v>
      </c>
      <c r="E513" s="29">
        <f>[1]ALNS!AD166</f>
        <v>2.4172087790225926E-3</v>
      </c>
      <c r="F513" s="28">
        <f>[1]ALNS!AE166</f>
        <v>336.83</v>
      </c>
      <c r="G513" s="28">
        <f>'[1]PFB tests'!F512</f>
        <v>284519.19729999901</v>
      </c>
      <c r="H513" s="28">
        <f>'[1]PFB tests'!G512</f>
        <v>738.25537437500304</v>
      </c>
      <c r="I513" s="30">
        <f>(C513-G513)/G513</f>
        <v>-3.6380523346847833E-2</v>
      </c>
      <c r="J513" s="30">
        <f t="shared" si="137"/>
        <v>-0.54374866517544063</v>
      </c>
      <c r="K513" s="58" t="s">
        <v>15</v>
      </c>
      <c r="L513" s="58" t="s">
        <v>32</v>
      </c>
      <c r="M513" s="59" t="s">
        <v>32</v>
      </c>
      <c r="N513" s="59" t="s">
        <v>32</v>
      </c>
      <c r="O513" s="32" t="s">
        <v>32</v>
      </c>
      <c r="P513" s="14"/>
      <c r="Q513" s="20"/>
      <c r="R513" s="20"/>
      <c r="S513" s="4"/>
      <c r="T513" s="2"/>
      <c r="U513" s="2"/>
    </row>
    <row r="514" spans="1:21" ht="17" x14ac:dyDescent="0.2">
      <c r="A514" s="19" t="s">
        <v>196</v>
      </c>
      <c r="B514" s="14">
        <v>2400</v>
      </c>
      <c r="C514" s="28">
        <f>[1]ALNS!Z167</f>
        <v>301749.00199999998</v>
      </c>
      <c r="D514" s="28">
        <f>[1]ALNS!AA167</f>
        <v>300413.2</v>
      </c>
      <c r="E514" s="29">
        <f>[1]ALNS!AD167</f>
        <v>5.5153263571381906E-3</v>
      </c>
      <c r="F514" s="28">
        <f>[1]ALNS!AE167</f>
        <v>476.69600000000003</v>
      </c>
      <c r="G514" s="28">
        <f>'[1]PFB tests'!F513</f>
        <v>307394.75735000003</v>
      </c>
      <c r="H514" s="28">
        <f>'[1]PFB tests'!G513</f>
        <v>5050.2621983749796</v>
      </c>
      <c r="I514" s="30"/>
      <c r="J514" s="30"/>
      <c r="K514" s="58" t="s">
        <v>15</v>
      </c>
      <c r="L514" s="58" t="s">
        <v>32</v>
      </c>
      <c r="M514" s="59" t="s">
        <v>32</v>
      </c>
      <c r="N514" s="59" t="s">
        <v>32</v>
      </c>
      <c r="O514" s="32" t="s">
        <v>32</v>
      </c>
      <c r="P514" s="14"/>
      <c r="Q514" s="20"/>
      <c r="R514" s="20"/>
      <c r="S514" s="4"/>
      <c r="T514" s="2"/>
      <c r="U514" s="2"/>
    </row>
    <row r="515" spans="1:21" ht="17" x14ac:dyDescent="0.2">
      <c r="A515" s="19" t="s">
        <v>230</v>
      </c>
      <c r="B515" s="14">
        <v>2400</v>
      </c>
      <c r="C515" s="28">
        <f>[1]ALNS!Z168</f>
        <v>319197.342</v>
      </c>
      <c r="D515" s="28">
        <f>[1]ALNS!AA168</f>
        <v>317012.38</v>
      </c>
      <c r="E515" s="29">
        <f>[1]ALNS!AD168</f>
        <v>5.3057631264175733E-3</v>
      </c>
      <c r="F515" s="28">
        <f>[1]ALNS!AE168</f>
        <v>457.71800000000002</v>
      </c>
      <c r="G515" s="58" t="s">
        <v>15</v>
      </c>
      <c r="H515" s="58" t="s">
        <v>32</v>
      </c>
      <c r="I515" s="59" t="s">
        <v>32</v>
      </c>
      <c r="J515" s="59" t="s">
        <v>32</v>
      </c>
      <c r="K515" s="58" t="s">
        <v>15</v>
      </c>
      <c r="L515" s="58" t="s">
        <v>32</v>
      </c>
      <c r="M515" s="59" t="s">
        <v>32</v>
      </c>
      <c r="N515" s="59" t="s">
        <v>32</v>
      </c>
      <c r="O515" s="32" t="s">
        <v>32</v>
      </c>
      <c r="P515" s="14"/>
      <c r="Q515" s="20"/>
      <c r="R515" s="20"/>
      <c r="S515" s="4"/>
      <c r="T515" s="2"/>
      <c r="U515" s="2"/>
    </row>
    <row r="516" spans="1:21" ht="17" x14ac:dyDescent="0.2">
      <c r="A516" s="19" t="s">
        <v>198</v>
      </c>
      <c r="B516" s="14">
        <v>2400</v>
      </c>
      <c r="C516" s="28">
        <f>[1]ALNS!Z169</f>
        <v>346698.99799999996</v>
      </c>
      <c r="D516" s="28">
        <f>[1]ALNS!AA169</f>
        <v>345417.99</v>
      </c>
      <c r="E516" s="29">
        <f>[1]ALNS!AD169</f>
        <v>6.0640575072568323E-3</v>
      </c>
      <c r="F516" s="28">
        <f>[1]ALNS!AE169</f>
        <v>540.27600000000007</v>
      </c>
      <c r="G516" s="58" t="s">
        <v>15</v>
      </c>
      <c r="H516" s="58" t="s">
        <v>32</v>
      </c>
      <c r="I516" s="59" t="s">
        <v>32</v>
      </c>
      <c r="J516" s="59" t="s">
        <v>32</v>
      </c>
      <c r="K516" s="58" t="s">
        <v>15</v>
      </c>
      <c r="L516" s="58" t="s">
        <v>32</v>
      </c>
      <c r="M516" s="59" t="s">
        <v>32</v>
      </c>
      <c r="N516" s="59" t="s">
        <v>32</v>
      </c>
      <c r="O516" s="32" t="s">
        <v>32</v>
      </c>
      <c r="P516" s="14"/>
      <c r="Q516" s="20"/>
      <c r="R516" s="20"/>
      <c r="S516" s="4"/>
      <c r="T516" s="2"/>
      <c r="U516" s="2"/>
    </row>
    <row r="517" spans="1:21" x14ac:dyDescent="0.2">
      <c r="A517" s="14"/>
      <c r="B517" s="14"/>
      <c r="C517" s="14"/>
      <c r="D517" s="14"/>
      <c r="E517" s="14"/>
      <c r="F517" s="14"/>
      <c r="G517" s="14"/>
      <c r="H517" s="14"/>
      <c r="I517" s="14"/>
      <c r="J517" s="14"/>
      <c r="K517" s="14"/>
      <c r="L517" s="14"/>
      <c r="M517" s="14"/>
      <c r="N517" s="14"/>
      <c r="O517" s="14"/>
      <c r="P517" s="14"/>
      <c r="Q517" s="20"/>
      <c r="R517" s="20"/>
      <c r="S517" s="2"/>
      <c r="T517" s="2"/>
      <c r="U517" s="2"/>
    </row>
    <row r="518" spans="1:21" x14ac:dyDescent="0.2">
      <c r="A518" s="14" t="s">
        <v>231</v>
      </c>
      <c r="B518" s="14">
        <v>2400</v>
      </c>
      <c r="C518" s="6">
        <f>[1]ALNS!Z171</f>
        <v>234355.96000000002</v>
      </c>
      <c r="D518" s="6">
        <f>[1]ALNS!AA171</f>
        <v>234355.96</v>
      </c>
      <c r="E518" s="22">
        <f>[1]ALNS!AD171</f>
        <v>1.3884465175727834E-16</v>
      </c>
      <c r="F518" s="6">
        <f>[1]ALNS!AE171</f>
        <v>99.835999999999999</v>
      </c>
      <c r="G518" s="14"/>
      <c r="H518" s="14"/>
      <c r="I518" s="14"/>
      <c r="J518" s="14"/>
      <c r="K518" s="14"/>
      <c r="L518" s="14"/>
      <c r="M518" s="14"/>
      <c r="N518" s="14"/>
      <c r="O518" s="14"/>
      <c r="P518" s="14"/>
      <c r="Q518" s="20"/>
      <c r="R518" s="20"/>
      <c r="S518" s="2"/>
      <c r="T518" s="2"/>
      <c r="U518" s="2"/>
    </row>
    <row r="519" spans="1:21" x14ac:dyDescent="0.2">
      <c r="A519" s="14" t="s">
        <v>232</v>
      </c>
      <c r="B519" s="14">
        <v>2400</v>
      </c>
      <c r="C519" s="6">
        <f>[1]ALNS!Z172</f>
        <v>295177.26599999995</v>
      </c>
      <c r="D519" s="6">
        <f>[1]ALNS!AA172</f>
        <v>295147.93</v>
      </c>
      <c r="E519" s="22">
        <f>[1]ALNS!AD172</f>
        <v>5.5557539268543032E-5</v>
      </c>
      <c r="F519" s="6">
        <f>[1]ALNS!AE172</f>
        <v>161.92599999999999</v>
      </c>
      <c r="G519" s="14"/>
      <c r="H519" s="14"/>
      <c r="I519" s="14"/>
      <c r="J519" s="14"/>
      <c r="K519" s="14"/>
      <c r="L519" s="14"/>
      <c r="M519" s="14"/>
      <c r="N519" s="14"/>
      <c r="O519" s="14"/>
      <c r="P519" s="14"/>
      <c r="Q519" s="20"/>
      <c r="R519" s="20"/>
      <c r="S519" s="2"/>
      <c r="T519" s="2"/>
      <c r="U519" s="2"/>
    </row>
    <row r="520" spans="1:21" x14ac:dyDescent="0.2">
      <c r="A520" s="14" t="s">
        <v>233</v>
      </c>
      <c r="B520" s="14">
        <v>2400</v>
      </c>
      <c r="C520" s="6">
        <f>[1]ALNS!Z173</f>
        <v>351230.11799999996</v>
      </c>
      <c r="D520" s="6">
        <f>[1]ALNS!AA173</f>
        <v>349313.13</v>
      </c>
      <c r="E520" s="22">
        <f>[1]ALNS!AD173</f>
        <v>5.8053787827903637E-3</v>
      </c>
      <c r="F520" s="6">
        <f>[1]ALNS!AE173</f>
        <v>573.36399999999992</v>
      </c>
      <c r="G520" s="14"/>
      <c r="H520" s="14"/>
      <c r="I520" s="14"/>
      <c r="J520" s="14"/>
      <c r="K520" s="14"/>
      <c r="L520" s="14"/>
      <c r="M520" s="14"/>
      <c r="N520" s="14"/>
      <c r="O520" s="14"/>
      <c r="P520" s="14"/>
      <c r="Q520" s="20"/>
      <c r="R520" s="20"/>
      <c r="S520" s="2"/>
      <c r="T520" s="2"/>
      <c r="U520" s="2"/>
    </row>
    <row r="521" spans="1:21" x14ac:dyDescent="0.2">
      <c r="A521" s="14"/>
      <c r="B521" s="14"/>
      <c r="C521" s="14"/>
      <c r="D521" s="14"/>
      <c r="E521" s="14"/>
      <c r="F521" s="14"/>
      <c r="G521" s="14"/>
      <c r="H521" s="14"/>
      <c r="I521" s="14"/>
      <c r="J521" s="14"/>
      <c r="K521" s="14"/>
      <c r="L521" s="14"/>
      <c r="M521" s="14"/>
      <c r="N521" s="14"/>
      <c r="O521" s="14"/>
      <c r="P521" s="14"/>
      <c r="Q521" s="20"/>
      <c r="R521" s="14"/>
      <c r="S521" s="2"/>
      <c r="T521" s="2"/>
      <c r="U521" s="2"/>
    </row>
    <row r="522" spans="1:21" x14ac:dyDescent="0.2">
      <c r="A522" s="14"/>
      <c r="B522" s="14"/>
      <c r="C522" s="14"/>
      <c r="D522" s="14"/>
      <c r="E522" s="22"/>
      <c r="F522" s="14"/>
      <c r="G522" s="14"/>
      <c r="H522" s="14"/>
      <c r="I522" s="14"/>
      <c r="J522" s="14"/>
      <c r="K522" s="14"/>
      <c r="L522" s="14"/>
      <c r="M522" s="14"/>
      <c r="N522" s="14"/>
      <c r="O522" s="14"/>
      <c r="P522" s="14"/>
      <c r="Q522" s="20"/>
      <c r="R522" s="14"/>
      <c r="S522" s="2"/>
      <c r="T522" s="2"/>
      <c r="U522" s="2"/>
    </row>
    <row r="523" spans="1:21" x14ac:dyDescent="0.2">
      <c r="A523" s="14"/>
      <c r="B523" s="14"/>
      <c r="C523" s="14"/>
      <c r="D523" s="14"/>
      <c r="E523" s="14"/>
      <c r="F523" s="14"/>
      <c r="G523" s="14"/>
      <c r="H523" s="14"/>
      <c r="I523" s="14"/>
      <c r="J523" s="14"/>
      <c r="K523" s="14"/>
      <c r="L523" s="14"/>
      <c r="M523" s="14"/>
      <c r="N523" s="14"/>
      <c r="O523" s="14"/>
      <c r="P523" s="14"/>
      <c r="Q523" s="20"/>
      <c r="R523" s="14"/>
      <c r="S523" s="2"/>
      <c r="T523" s="2"/>
      <c r="U523" s="2"/>
    </row>
    <row r="524" spans="1:21" x14ac:dyDescent="0.2">
      <c r="A524" s="14"/>
      <c r="B524" s="14"/>
      <c r="C524" s="14"/>
      <c r="D524" s="14"/>
      <c r="E524" s="14"/>
      <c r="F524" s="6"/>
      <c r="G524" s="6"/>
      <c r="H524" s="6"/>
      <c r="I524" s="20"/>
      <c r="J524" s="6"/>
      <c r="K524" s="6"/>
      <c r="L524" s="6"/>
      <c r="M524" s="14"/>
      <c r="N524" s="14"/>
      <c r="O524" s="14"/>
      <c r="P524" s="14"/>
      <c r="Q524" s="14"/>
      <c r="R524" s="14"/>
      <c r="S524" s="2"/>
      <c r="T524" s="2"/>
      <c r="U524" s="2"/>
    </row>
    <row r="525" spans="1:21" x14ac:dyDescent="0.2">
      <c r="A525" s="14"/>
      <c r="B525" s="14"/>
      <c r="C525" s="14"/>
      <c r="D525" s="14"/>
      <c r="E525" s="14"/>
      <c r="F525" s="6"/>
      <c r="G525" s="14"/>
      <c r="H525" s="6"/>
      <c r="I525" s="14"/>
      <c r="J525" s="14"/>
      <c r="K525" s="14"/>
      <c r="L525" s="6"/>
      <c r="M525" s="14"/>
      <c r="N525" s="22"/>
      <c r="O525" s="14"/>
      <c r="P525" s="14"/>
      <c r="Q525" s="14"/>
      <c r="R525" s="14"/>
      <c r="S525" s="2"/>
      <c r="T525" s="2"/>
      <c r="U525" s="2"/>
    </row>
    <row r="526" spans="1:21" ht="22" x14ac:dyDescent="0.3">
      <c r="A526" s="38" t="s">
        <v>274</v>
      </c>
      <c r="B526" s="14"/>
      <c r="C526" s="14"/>
      <c r="D526" s="14"/>
      <c r="E526" s="14"/>
      <c r="F526" s="6"/>
      <c r="G526" s="14"/>
      <c r="H526" s="6"/>
      <c r="I526" s="14"/>
      <c r="J526" s="14"/>
      <c r="K526" s="14"/>
      <c r="L526" s="6"/>
      <c r="M526" s="14"/>
      <c r="N526" s="14"/>
      <c r="O526" s="14"/>
      <c r="P526" s="14"/>
      <c r="Q526" s="44"/>
      <c r="R526" s="44"/>
      <c r="S526" s="2"/>
      <c r="T526" s="2"/>
      <c r="U526" s="2"/>
    </row>
    <row r="527" spans="1:21" x14ac:dyDescent="0.2">
      <c r="A527" s="14"/>
      <c r="B527" s="14"/>
      <c r="C527" s="14"/>
      <c r="D527" s="14"/>
      <c r="E527" s="14"/>
      <c r="F527" s="14"/>
      <c r="G527" s="14"/>
      <c r="H527" s="14"/>
      <c r="I527" s="14"/>
      <c r="J527" s="14"/>
      <c r="K527" s="14"/>
      <c r="L527" s="14"/>
      <c r="M527" s="14"/>
      <c r="N527" s="14"/>
      <c r="O527" s="14"/>
      <c r="P527" s="14"/>
      <c r="Q527" s="14"/>
      <c r="R527" s="14"/>
      <c r="S527" s="2"/>
      <c r="T527" s="2"/>
      <c r="U527" s="2"/>
    </row>
    <row r="528" spans="1:21" x14ac:dyDescent="0.2">
      <c r="A528" s="14"/>
      <c r="B528" s="14"/>
      <c r="C528" s="14"/>
      <c r="D528" s="14"/>
      <c r="E528" s="22"/>
      <c r="F528" s="14"/>
      <c r="G528" s="14"/>
      <c r="H528" s="14"/>
      <c r="I528" s="14"/>
      <c r="J528" s="14"/>
      <c r="K528" s="14"/>
      <c r="L528" s="14"/>
      <c r="M528" s="14"/>
      <c r="N528" s="14"/>
      <c r="O528" s="14"/>
      <c r="P528" s="14"/>
      <c r="Q528" s="14"/>
      <c r="R528" s="14"/>
      <c r="S528" s="2"/>
      <c r="T528" s="2"/>
      <c r="U528" s="2"/>
    </row>
    <row r="529" spans="1:21" ht="19" x14ac:dyDescent="0.25">
      <c r="A529" s="35" t="s">
        <v>253</v>
      </c>
      <c r="B529" s="14"/>
      <c r="C529" s="14"/>
      <c r="D529" s="14"/>
      <c r="E529" s="14"/>
      <c r="F529" s="14"/>
      <c r="G529" s="14"/>
      <c r="H529" s="14"/>
      <c r="I529" s="14"/>
      <c r="J529" s="14"/>
      <c r="K529" s="14"/>
      <c r="L529" s="14"/>
      <c r="M529" s="14"/>
      <c r="N529" s="14"/>
      <c r="O529" s="14"/>
      <c r="P529" s="14"/>
      <c r="Q529" s="14"/>
      <c r="R529" s="14"/>
      <c r="S529" s="2"/>
      <c r="T529" s="2"/>
      <c r="U529" s="2"/>
    </row>
    <row r="530" spans="1:21" x14ac:dyDescent="0.2">
      <c r="A530" s="14"/>
      <c r="B530" s="14"/>
      <c r="C530" s="14"/>
      <c r="D530" s="14"/>
      <c r="E530" s="14"/>
      <c r="F530" s="14"/>
      <c r="G530" s="14"/>
      <c r="H530" s="14"/>
      <c r="I530" s="14"/>
      <c r="J530" s="14"/>
      <c r="K530" s="14"/>
      <c r="L530" s="14"/>
      <c r="M530" s="14"/>
      <c r="N530" s="14"/>
      <c r="O530" s="14"/>
      <c r="P530" s="14"/>
      <c r="Q530" s="14"/>
      <c r="R530" s="14"/>
      <c r="S530" s="2"/>
      <c r="T530" s="2"/>
      <c r="U530" s="2"/>
    </row>
    <row r="531" spans="1:21" ht="19" x14ac:dyDescent="0.25">
      <c r="A531" s="39"/>
      <c r="B531" s="39"/>
      <c r="C531" s="40" t="s">
        <v>21</v>
      </c>
      <c r="D531" s="40"/>
      <c r="E531" s="40"/>
      <c r="F531" s="40"/>
      <c r="G531" s="23" t="s">
        <v>37</v>
      </c>
      <c r="H531" s="23"/>
      <c r="I531" s="23"/>
      <c r="J531" s="23" t="s">
        <v>0</v>
      </c>
      <c r="K531" s="23"/>
      <c r="L531" s="23"/>
      <c r="M531" s="23"/>
      <c r="N531" s="23"/>
      <c r="O531" s="24"/>
      <c r="P531" s="24"/>
      <c r="Q531" s="14"/>
      <c r="R531" s="35"/>
      <c r="S531" s="8"/>
      <c r="T531" s="2"/>
      <c r="U531" s="2"/>
    </row>
    <row r="532" spans="1:21" ht="18" x14ac:dyDescent="0.25">
      <c r="A532" s="39" t="s">
        <v>254</v>
      </c>
      <c r="B532" s="39" t="s">
        <v>23</v>
      </c>
      <c r="C532" s="39" t="s">
        <v>6</v>
      </c>
      <c r="D532" s="39" t="s">
        <v>255</v>
      </c>
      <c r="E532" s="39" t="s">
        <v>45</v>
      </c>
      <c r="F532" s="39"/>
      <c r="G532" s="39" t="s">
        <v>34</v>
      </c>
      <c r="H532" s="39" t="s">
        <v>45</v>
      </c>
      <c r="I532" s="39"/>
      <c r="J532" s="39" t="s">
        <v>6</v>
      </c>
      <c r="K532" s="39" t="s">
        <v>43</v>
      </c>
      <c r="L532" s="39" t="s">
        <v>44</v>
      </c>
      <c r="M532" s="39" t="s">
        <v>45</v>
      </c>
      <c r="N532" s="39"/>
      <c r="O532" s="18" t="s">
        <v>256</v>
      </c>
      <c r="P532" s="18" t="s">
        <v>257</v>
      </c>
      <c r="Q532" s="18" t="s">
        <v>258</v>
      </c>
      <c r="R532" s="18" t="s">
        <v>47</v>
      </c>
      <c r="S532" s="25"/>
      <c r="T532" s="2"/>
      <c r="U532" s="2"/>
    </row>
    <row r="533" spans="1:21" x14ac:dyDescent="0.2">
      <c r="A533" s="41" t="s">
        <v>259</v>
      </c>
      <c r="B533" s="14">
        <v>1</v>
      </c>
      <c r="C533" s="42">
        <f t="shared" ref="C533:C541" si="138">AVERAGE(K7,K40,K73,K106,K139)</f>
        <v>59527.574099706719</v>
      </c>
      <c r="D533" s="43">
        <f t="shared" ref="D533:D537" si="139">AVERAGE(M7,M40,M73,M106,M139)</f>
        <v>0</v>
      </c>
      <c r="E533" s="42">
        <f t="shared" ref="E533:E537" si="140">AVERAGE(L7,L40,L73,L139,L106)</f>
        <v>83.695999999999998</v>
      </c>
      <c r="F533" s="14"/>
      <c r="G533" s="42">
        <f>AVERAGE(G7,G40,G73,G106,G139)</f>
        <v>59716.975243999994</v>
      </c>
      <c r="H533" s="42">
        <f>AVERAGE(H7,H40,H73,H106,H139)</f>
        <v>17.094381966800501</v>
      </c>
      <c r="I533" s="14"/>
      <c r="J533" s="42">
        <f t="shared" ref="J533:K542" si="141">AVERAGE(C7,C40,C73,C106,C139)</f>
        <v>59527.574000000001</v>
      </c>
      <c r="K533" s="42">
        <f t="shared" si="141"/>
        <v>59527.574000000001</v>
      </c>
      <c r="L533" s="43">
        <f t="shared" ref="L533:L542" si="142">AVERAGE(E40,E7,E73,E106,E139)</f>
        <v>0</v>
      </c>
      <c r="M533" s="42">
        <f t="shared" ref="M533:M542" si="143">AVERAGE(F7,F40,F73,F106,F139)</f>
        <v>15.395199999999999</v>
      </c>
      <c r="N533" s="14"/>
      <c r="O533" s="43">
        <f t="shared" ref="O533:O541" si="144">(J533-C533)/C533</f>
        <v>-1.6749669322534385E-9</v>
      </c>
      <c r="P533" s="43">
        <f t="shared" ref="P533:P539" si="145">(J533-G533)/G533</f>
        <v>-3.1716483165148794E-3</v>
      </c>
      <c r="Q533" s="43">
        <f t="shared" ref="Q533:Q539" si="146">(K533-G533)/G533</f>
        <v>-3.1716483165148794E-3</v>
      </c>
      <c r="R533" s="43">
        <f t="shared" ref="R533:R539" si="147">(M533-H533)/H533</f>
        <v>-9.9400023358582557E-2</v>
      </c>
      <c r="S533" s="2"/>
      <c r="T533" s="2"/>
      <c r="U533" s="2"/>
    </row>
    <row r="534" spans="1:21" x14ac:dyDescent="0.2">
      <c r="A534" s="41" t="s">
        <v>260</v>
      </c>
      <c r="B534" s="14">
        <v>1</v>
      </c>
      <c r="C534" s="42">
        <f t="shared" si="138"/>
        <v>90782.471451051912</v>
      </c>
      <c r="D534" s="43">
        <f t="shared" si="139"/>
        <v>0</v>
      </c>
      <c r="E534" s="42">
        <f t="shared" si="140"/>
        <v>336.01799999999997</v>
      </c>
      <c r="F534" s="14"/>
      <c r="G534" s="42">
        <f t="shared" ref="G534:H539" si="148">AVERAGE(G8,G41,G74,G107,G140)</f>
        <v>91346.635287999918</v>
      </c>
      <c r="H534" s="42">
        <f t="shared" si="148"/>
        <v>22.558992541600997</v>
      </c>
      <c r="I534" s="14"/>
      <c r="J534" s="42">
        <f t="shared" si="141"/>
        <v>90804.952000000005</v>
      </c>
      <c r="K534" s="42">
        <f t="shared" si="141"/>
        <v>90804.952000000005</v>
      </c>
      <c r="L534" s="43">
        <f t="shared" si="142"/>
        <v>0</v>
      </c>
      <c r="M534" s="42">
        <f t="shared" si="143"/>
        <v>21.4816</v>
      </c>
      <c r="N534" s="14"/>
      <c r="O534" s="43">
        <f t="shared" si="144"/>
        <v>2.4763094228178465E-4</v>
      </c>
      <c r="P534" s="43">
        <f t="shared" si="145"/>
        <v>-5.9299752672014733E-3</v>
      </c>
      <c r="Q534" s="43">
        <f t="shared" si="146"/>
        <v>-5.9299752672014733E-3</v>
      </c>
      <c r="R534" s="43">
        <f t="shared" si="147"/>
        <v>-4.775889435728032E-2</v>
      </c>
      <c r="S534" s="2"/>
      <c r="T534" s="2"/>
      <c r="U534" s="2"/>
    </row>
    <row r="535" spans="1:21" x14ac:dyDescent="0.2">
      <c r="A535" s="41" t="s">
        <v>261</v>
      </c>
      <c r="B535" s="14">
        <v>1</v>
      </c>
      <c r="C535" s="42">
        <f t="shared" si="138"/>
        <v>126252.98413640021</v>
      </c>
      <c r="D535" s="43">
        <f t="shared" si="139"/>
        <v>4.6841063550078721E-2</v>
      </c>
      <c r="E535" s="42">
        <f t="shared" si="140"/>
        <v>2240.9659999999999</v>
      </c>
      <c r="F535" s="14"/>
      <c r="G535" s="42">
        <f t="shared" si="148"/>
        <v>126214.2672989998</v>
      </c>
      <c r="H535" s="42">
        <f t="shared" si="148"/>
        <v>27.929516224998178</v>
      </c>
      <c r="I535" s="14"/>
      <c r="J535" s="42">
        <f t="shared" si="141"/>
        <v>126137.268</v>
      </c>
      <c r="K535" s="42">
        <f t="shared" si="141"/>
        <v>126137.268</v>
      </c>
      <c r="L535" s="43">
        <f t="shared" si="142"/>
        <v>2.8430368775681794E-17</v>
      </c>
      <c r="M535" s="42">
        <f t="shared" si="143"/>
        <v>30.637999999999998</v>
      </c>
      <c r="N535" s="14"/>
      <c r="O535" s="43">
        <f t="shared" si="144"/>
        <v>-9.1654179258997173E-4</v>
      </c>
      <c r="P535" s="43">
        <f t="shared" si="145"/>
        <v>-6.1006810598827812E-4</v>
      </c>
      <c r="Q535" s="43">
        <f t="shared" si="146"/>
        <v>-6.1006810598827812E-4</v>
      </c>
      <c r="R535" s="43">
        <f t="shared" si="147"/>
        <v>9.6975678102780918E-2</v>
      </c>
      <c r="S535" s="2"/>
      <c r="T535" s="2"/>
      <c r="U535" s="2"/>
    </row>
    <row r="536" spans="1:21" x14ac:dyDescent="0.2">
      <c r="A536" s="41" t="s">
        <v>262</v>
      </c>
      <c r="B536" s="14">
        <v>1</v>
      </c>
      <c r="C536" s="42">
        <f t="shared" si="138"/>
        <v>148834.17658212339</v>
      </c>
      <c r="D536" s="43">
        <f t="shared" si="139"/>
        <v>0.12849023336529278</v>
      </c>
      <c r="E536" s="42">
        <f t="shared" si="140"/>
        <v>3701.66</v>
      </c>
      <c r="F536" s="14"/>
      <c r="G536" s="42">
        <f t="shared" si="148"/>
        <v>148144.21448799939</v>
      </c>
      <c r="H536" s="42">
        <f t="shared" si="148"/>
        <v>39.67193442520216</v>
      </c>
      <c r="I536" s="14"/>
      <c r="J536" s="42">
        <f t="shared" si="141"/>
        <v>147650.29999999999</v>
      </c>
      <c r="K536" s="42">
        <f t="shared" si="141"/>
        <v>147650.29999999999</v>
      </c>
      <c r="L536" s="43">
        <f t="shared" si="142"/>
        <v>0</v>
      </c>
      <c r="M536" s="42">
        <f t="shared" si="143"/>
        <v>36.959600000000002</v>
      </c>
      <c r="N536" s="14"/>
      <c r="O536" s="43">
        <f t="shared" si="144"/>
        <v>-7.9543328643348291E-3</v>
      </c>
      <c r="P536" s="43">
        <f t="shared" si="145"/>
        <v>-3.3340113193513097E-3</v>
      </c>
      <c r="Q536" s="43">
        <f t="shared" si="146"/>
        <v>-3.3340113193513097E-3</v>
      </c>
      <c r="R536" s="43">
        <f t="shared" si="147"/>
        <v>-6.836909932678023E-2</v>
      </c>
      <c r="S536" s="2"/>
      <c r="T536" s="2"/>
      <c r="U536" s="2"/>
    </row>
    <row r="537" spans="1:21" x14ac:dyDescent="0.2">
      <c r="A537" s="41" t="s">
        <v>263</v>
      </c>
      <c r="B537" s="14">
        <v>1</v>
      </c>
      <c r="C537" s="42">
        <f t="shared" si="138"/>
        <v>174675.46851716298</v>
      </c>
      <c r="D537" s="43">
        <f t="shared" si="139"/>
        <v>0.1726149360647232</v>
      </c>
      <c r="E537" s="42">
        <f t="shared" si="140"/>
        <v>3750.482</v>
      </c>
      <c r="F537" s="14"/>
      <c r="G537" s="42">
        <f t="shared" si="148"/>
        <v>171610.30569899979</v>
      </c>
      <c r="H537" s="42">
        <f t="shared" si="148"/>
        <v>82.605977866600597</v>
      </c>
      <c r="I537" s="14"/>
      <c r="J537" s="42">
        <f t="shared" si="141"/>
        <v>171411.65600000002</v>
      </c>
      <c r="K537" s="42">
        <f t="shared" si="141"/>
        <v>171411.65600000002</v>
      </c>
      <c r="L537" s="43">
        <f t="shared" si="142"/>
        <v>0</v>
      </c>
      <c r="M537" s="42">
        <f t="shared" si="143"/>
        <v>50.556799999999996</v>
      </c>
      <c r="N537" s="14"/>
      <c r="O537" s="43">
        <f t="shared" si="144"/>
        <v>-1.8685007945705181E-2</v>
      </c>
      <c r="P537" s="43">
        <f t="shared" si="145"/>
        <v>-1.1575627593612893E-3</v>
      </c>
      <c r="Q537" s="43">
        <f t="shared" si="146"/>
        <v>-1.1575627593612893E-3</v>
      </c>
      <c r="R537" s="43">
        <f t="shared" si="147"/>
        <v>-0.38797649630582953</v>
      </c>
      <c r="S537" s="2"/>
      <c r="T537" s="2"/>
      <c r="U537" s="2"/>
    </row>
    <row r="538" spans="1:21" x14ac:dyDescent="0.2">
      <c r="A538" s="41" t="s">
        <v>264</v>
      </c>
      <c r="B538" s="14">
        <v>1</v>
      </c>
      <c r="C538" s="42">
        <f t="shared" si="138"/>
        <v>195841.87816911421</v>
      </c>
      <c r="D538" s="43">
        <f>AVERAGE(M12,M45,M78,M111,M144)</f>
        <v>0.17138972363459079</v>
      </c>
      <c r="E538" s="42">
        <f>AVERAGE(L12,L45,L78,L144,L111)</f>
        <v>3813.7840000000006</v>
      </c>
      <c r="F538" s="14"/>
      <c r="G538" s="42">
        <f t="shared" si="148"/>
        <v>185744.83932099998</v>
      </c>
      <c r="H538" s="42">
        <f t="shared" si="148"/>
        <v>257.86892139979943</v>
      </c>
      <c r="I538" s="14"/>
      <c r="J538" s="42">
        <f t="shared" si="141"/>
        <v>185361.35799999998</v>
      </c>
      <c r="K538" s="42">
        <f t="shared" si="141"/>
        <v>185361.35799999998</v>
      </c>
      <c r="L538" s="43">
        <f t="shared" si="142"/>
        <v>2.9478820736924192E-17</v>
      </c>
      <c r="M538" s="42">
        <f t="shared" si="143"/>
        <v>62.026800000000001</v>
      </c>
      <c r="N538" s="14"/>
      <c r="O538" s="43">
        <f t="shared" si="144"/>
        <v>-5.3515214759450203E-2</v>
      </c>
      <c r="P538" s="43">
        <f t="shared" si="145"/>
        <v>-2.0645597605932708E-3</v>
      </c>
      <c r="Q538" s="43">
        <f t="shared" si="146"/>
        <v>-2.0645597605932708E-3</v>
      </c>
      <c r="R538" s="43">
        <f t="shared" si="147"/>
        <v>-0.75946384053069427</v>
      </c>
      <c r="S538" s="2"/>
      <c r="T538" s="2"/>
      <c r="U538" s="2"/>
    </row>
    <row r="539" spans="1:21" x14ac:dyDescent="0.2">
      <c r="A539" s="41" t="s">
        <v>265</v>
      </c>
      <c r="B539" s="14">
        <v>1</v>
      </c>
      <c r="C539" s="42">
        <f t="shared" si="138"/>
        <v>224255.81757208222</v>
      </c>
      <c r="D539" s="43">
        <f>AVERAGE(M13,M46,M79,M112,M145)</f>
        <v>0.18640968550789722</v>
      </c>
      <c r="E539" s="42">
        <f>AVERAGE(L13,L46,L79,L145,L112)</f>
        <v>3920.7239999999997</v>
      </c>
      <c r="F539" s="14"/>
      <c r="G539" s="42">
        <f t="shared" si="148"/>
        <v>216917.31857599979</v>
      </c>
      <c r="H539" s="42">
        <f t="shared" si="148"/>
        <v>801.94260466660012</v>
      </c>
      <c r="I539" s="14"/>
      <c r="J539" s="42">
        <f t="shared" si="141"/>
        <v>216187.08799999999</v>
      </c>
      <c r="K539" s="42">
        <f t="shared" si="141"/>
        <v>216187.08799999999</v>
      </c>
      <c r="L539" s="43">
        <f t="shared" si="142"/>
        <v>5.7334801352315725E-17</v>
      </c>
      <c r="M539" s="42">
        <f t="shared" si="143"/>
        <v>77.882800000000003</v>
      </c>
      <c r="N539" s="14"/>
      <c r="O539" s="43">
        <f t="shared" si="144"/>
        <v>-3.5980023436799846E-2</v>
      </c>
      <c r="P539" s="43">
        <f t="shared" si="145"/>
        <v>-3.3664005289829003E-3</v>
      </c>
      <c r="Q539" s="43">
        <f t="shared" si="146"/>
        <v>-3.3664005289829003E-3</v>
      </c>
      <c r="R539" s="43">
        <f t="shared" si="147"/>
        <v>-0.90288232655704959</v>
      </c>
      <c r="S539" s="2"/>
      <c r="T539" s="2"/>
      <c r="U539" s="2"/>
    </row>
    <row r="540" spans="1:21" x14ac:dyDescent="0.2">
      <c r="A540" s="41" t="s">
        <v>266</v>
      </c>
      <c r="B540" s="14">
        <v>1</v>
      </c>
      <c r="C540" s="42">
        <f t="shared" si="138"/>
        <v>259512.29023425761</v>
      </c>
      <c r="D540" s="43">
        <f>AVERAGE(M14,M47,M80,M113,M146)</f>
        <v>0.23505608285358362</v>
      </c>
      <c r="E540" s="42">
        <f>AVERAGE(L14,L47,L80,L146,L113)</f>
        <v>3955.232</v>
      </c>
      <c r="F540" s="14"/>
      <c r="G540" s="42">
        <f>AVERAGE(G14,G113,G146)</f>
        <v>244237.92818333302</v>
      </c>
      <c r="H540" s="42">
        <f>AVERAGE(H14,H113,H146)</f>
        <v>2757.7649047776599</v>
      </c>
      <c r="I540" s="14"/>
      <c r="J540" s="42">
        <f t="shared" si="141"/>
        <v>237620.10999999996</v>
      </c>
      <c r="K540" s="42">
        <f t="shared" si="141"/>
        <v>237409.24800000005</v>
      </c>
      <c r="L540" s="43">
        <f t="shared" si="142"/>
        <v>1.7243998206361764E-3</v>
      </c>
      <c r="M540" s="42">
        <f t="shared" si="143"/>
        <v>86.588400000000007</v>
      </c>
      <c r="N540" s="14"/>
      <c r="O540" s="43">
        <f t="shared" si="144"/>
        <v>-8.4358934270496136E-2</v>
      </c>
      <c r="P540" s="43">
        <f>(AVERAGE(C14,C113,C146)-G540)/G540</f>
        <v>-9.3791404568845311E-4</v>
      </c>
      <c r="Q540" s="43">
        <f>(AVERAGE(D14,D113,D146)-G540)/G540</f>
        <v>-2.0403527018632169E-3</v>
      </c>
      <c r="R540" s="43">
        <f>(AVERAGE(F14,F113,F146)-H540)/H540</f>
        <v>-0.96826536355037018</v>
      </c>
      <c r="S540" s="2"/>
      <c r="T540" s="2"/>
      <c r="U540" s="2"/>
    </row>
    <row r="541" spans="1:21" x14ac:dyDescent="0.2">
      <c r="A541" s="41" t="s">
        <v>267</v>
      </c>
      <c r="B541" s="14">
        <v>1</v>
      </c>
      <c r="C541" s="42">
        <f t="shared" si="138"/>
        <v>294534.11098869017</v>
      </c>
      <c r="D541" s="43">
        <f>AVERAGE(M15,M48,M81,M114,M147)</f>
        <v>0.26249613609560785</v>
      </c>
      <c r="E541" s="42">
        <f>AVERAGE(L15,L48,L81,L147,L114)</f>
        <v>4189.51</v>
      </c>
      <c r="F541" s="14"/>
      <c r="G541" s="42" t="s">
        <v>32</v>
      </c>
      <c r="H541" s="42" t="s">
        <v>32</v>
      </c>
      <c r="I541" s="14"/>
      <c r="J541" s="42">
        <f t="shared" si="141"/>
        <v>261288.90120000002</v>
      </c>
      <c r="K541" s="42">
        <f t="shared" si="141"/>
        <v>261228.02600000001</v>
      </c>
      <c r="L541" s="43">
        <f t="shared" si="142"/>
        <v>5.1890287455465158E-4</v>
      </c>
      <c r="M541" s="42">
        <f t="shared" si="143"/>
        <v>106.39360000000002</v>
      </c>
      <c r="N541" s="14"/>
      <c r="O541" s="43">
        <f t="shared" si="144"/>
        <v>-0.11287388641367496</v>
      </c>
      <c r="P541" s="61" t="s">
        <v>32</v>
      </c>
      <c r="Q541" s="62" t="s">
        <v>32</v>
      </c>
      <c r="R541" s="61" t="s">
        <v>32</v>
      </c>
      <c r="S541" s="2"/>
      <c r="T541" s="2"/>
      <c r="U541" s="2"/>
    </row>
    <row r="542" spans="1:21" x14ac:dyDescent="0.2">
      <c r="A542" s="41" t="s">
        <v>268</v>
      </c>
      <c r="B542" s="14">
        <v>1</v>
      </c>
      <c r="C542" s="42" t="s">
        <v>32</v>
      </c>
      <c r="D542" s="43" t="s">
        <v>32</v>
      </c>
      <c r="E542" s="42" t="s">
        <v>32</v>
      </c>
      <c r="F542" s="14"/>
      <c r="G542" s="42" t="s">
        <v>32</v>
      </c>
      <c r="H542" s="42" t="s">
        <v>32</v>
      </c>
      <c r="I542" s="14"/>
      <c r="J542" s="42">
        <f t="shared" si="141"/>
        <v>288371.15880000003</v>
      </c>
      <c r="K542" s="42">
        <f t="shared" si="141"/>
        <v>288321.97000000003</v>
      </c>
      <c r="L542" s="43">
        <f t="shared" si="142"/>
        <v>2.2427042536706261E-4</v>
      </c>
      <c r="M542" s="42">
        <f t="shared" si="143"/>
        <v>117.82599999999999</v>
      </c>
      <c r="N542" s="14"/>
      <c r="O542" s="43" t="s">
        <v>32</v>
      </c>
      <c r="P542" s="61" t="s">
        <v>32</v>
      </c>
      <c r="Q542" s="62" t="s">
        <v>32</v>
      </c>
      <c r="R542" s="61" t="s">
        <v>32</v>
      </c>
      <c r="S542" s="2"/>
      <c r="T542" s="2"/>
      <c r="U542" s="2"/>
    </row>
    <row r="543" spans="1:21" x14ac:dyDescent="0.2">
      <c r="A543" s="41" t="s">
        <v>269</v>
      </c>
      <c r="B543" s="14">
        <v>1</v>
      </c>
      <c r="C543" s="42" t="s">
        <v>32</v>
      </c>
      <c r="D543" s="43" t="s">
        <v>32</v>
      </c>
      <c r="E543" s="42" t="s">
        <v>32</v>
      </c>
      <c r="F543" s="14"/>
      <c r="G543" s="42" t="s">
        <v>32</v>
      </c>
      <c r="H543" s="42" t="s">
        <v>32</v>
      </c>
      <c r="I543" s="14"/>
      <c r="J543" s="42">
        <f>C173</f>
        <v>296125.37599999999</v>
      </c>
      <c r="K543" s="42">
        <f>D173</f>
        <v>296002.73</v>
      </c>
      <c r="L543" s="43">
        <f>E173</f>
        <v>3.7808299137338661E-4</v>
      </c>
      <c r="M543" s="42">
        <f>F173</f>
        <v>120.01200000000001</v>
      </c>
      <c r="N543" s="14"/>
      <c r="O543" s="43" t="s">
        <v>32</v>
      </c>
      <c r="P543" s="61" t="s">
        <v>32</v>
      </c>
      <c r="Q543" s="62" t="s">
        <v>32</v>
      </c>
      <c r="R543" s="61" t="s">
        <v>32</v>
      </c>
      <c r="S543" s="2"/>
      <c r="T543" s="2"/>
      <c r="U543" s="2"/>
    </row>
    <row r="544" spans="1:21" x14ac:dyDescent="0.2">
      <c r="A544" s="41" t="s">
        <v>270</v>
      </c>
      <c r="B544" s="14">
        <v>1</v>
      </c>
      <c r="C544" s="42">
        <f>AVERAGE(C533:C541)</f>
        <v>174912.97463895439</v>
      </c>
      <c r="D544" s="22">
        <f t="shared" ref="D544:E544" si="149">AVERAGE(D533:D541)</f>
        <v>0.13369976234130823</v>
      </c>
      <c r="E544" s="42">
        <f t="shared" si="149"/>
        <v>2888.0079999999998</v>
      </c>
      <c r="F544" s="14"/>
      <c r="G544" s="42">
        <f>AVERAGE(G533:G540)</f>
        <v>155491.56051229144</v>
      </c>
      <c r="H544" s="42">
        <f>AVERAGE(H533:H540)</f>
        <v>500.92965423365774</v>
      </c>
      <c r="I544" s="14"/>
      <c r="J544" s="42">
        <f>AVERAGE(J533:J543)</f>
        <v>189135.06745454544</v>
      </c>
      <c r="K544" s="42">
        <f>AVERAGE(K533:K543)</f>
        <v>189094.74272727274</v>
      </c>
      <c r="L544" s="43">
        <f>AVERAGE(L533:L543)</f>
        <v>2.5869601017558113E-4</v>
      </c>
      <c r="M544" s="42">
        <f>AVERAGE(M533:M543)</f>
        <v>65.978254545454561</v>
      </c>
      <c r="N544" s="14"/>
      <c r="O544" s="43">
        <f>AVERAGE(O533:O541)</f>
        <v>-3.4892923579526253E-2</v>
      </c>
      <c r="P544" s="43">
        <f>AVERAGE(P533:P540)</f>
        <v>-2.5715175129602322E-3</v>
      </c>
      <c r="Q544" s="43">
        <f>AVERAGE(Q533:Q540)</f>
        <v>-2.7093223449820773E-3</v>
      </c>
      <c r="R544" s="43">
        <f>AVERAGE(R533:R540)</f>
        <v>-0.39214254573547569</v>
      </c>
      <c r="S544" s="2"/>
      <c r="T544" s="2"/>
      <c r="U544" s="2"/>
    </row>
    <row r="545" spans="1:21" ht="18" x14ac:dyDescent="0.25">
      <c r="A545" s="16"/>
      <c r="B545" s="14"/>
      <c r="C545" s="42"/>
      <c r="D545" s="14"/>
      <c r="E545" s="42"/>
      <c r="F545" s="14"/>
      <c r="G545" s="42"/>
      <c r="H545" s="42"/>
      <c r="I545" s="14"/>
      <c r="J545" s="42"/>
      <c r="K545" s="42"/>
      <c r="L545" s="43"/>
      <c r="M545" s="42"/>
      <c r="N545" s="14"/>
      <c r="O545" s="43"/>
      <c r="P545" s="43"/>
      <c r="Q545" s="43"/>
      <c r="R545" s="43"/>
      <c r="S545" s="2"/>
      <c r="T545" s="2"/>
      <c r="U545" s="2"/>
    </row>
    <row r="546" spans="1:21" x14ac:dyDescent="0.2">
      <c r="A546" s="41" t="s">
        <v>259</v>
      </c>
      <c r="B546" s="14">
        <v>0.5</v>
      </c>
      <c r="C546" s="42">
        <f>AVERAGE(K18,K51,K84,K117,K150)</f>
        <v>75355.375168803133</v>
      </c>
      <c r="D546" s="43">
        <f t="shared" ref="D546:D549" si="150">AVERAGE(M18,M51,M84,M117,M150)</f>
        <v>0</v>
      </c>
      <c r="E546" s="42">
        <f t="shared" ref="E546:E549" si="151">AVERAGE(L18,L51,L84,L117,L150)</f>
        <v>193.374</v>
      </c>
      <c r="F546" s="14"/>
      <c r="G546" s="42">
        <f>AVERAGE(G18,G51,G84,G117,G150)</f>
        <v>75355.375249999997</v>
      </c>
      <c r="H546" s="42">
        <f>AVERAGE(H18,H51,H84,H117,H150)</f>
        <v>17.177737741802382</v>
      </c>
      <c r="I546" s="14"/>
      <c r="J546" s="42">
        <f t="shared" ref="J546:M555" si="152">AVERAGE(C18,C51,C84,C117,C150)</f>
        <v>75355.376000000004</v>
      </c>
      <c r="K546" s="42">
        <f t="shared" si="152"/>
        <v>75355.376000000004</v>
      </c>
      <c r="L546" s="43">
        <f t="shared" si="152"/>
        <v>2.6295724999189978E-17</v>
      </c>
      <c r="M546" s="42">
        <f t="shared" si="152"/>
        <v>18.500800000000002</v>
      </c>
      <c r="N546" s="14"/>
      <c r="O546" s="43">
        <f>(J546-C546)/C546</f>
        <v>1.1030359394535978E-8</v>
      </c>
      <c r="P546" s="43">
        <f>(J546-G546)/G546</f>
        <v>9.9528401793640872E-9</v>
      </c>
      <c r="Q546" s="43">
        <f>(K546-G546)/G546</f>
        <v>9.9528401793640872E-9</v>
      </c>
      <c r="R546" s="43">
        <f>(M546-H546)/H546</f>
        <v>7.7021915113881401E-2</v>
      </c>
      <c r="S546" s="2"/>
      <c r="T546" s="2"/>
      <c r="U546" s="2"/>
    </row>
    <row r="547" spans="1:21" x14ac:dyDescent="0.2">
      <c r="A547" s="41" t="s">
        <v>260</v>
      </c>
      <c r="B547" s="14">
        <v>0.5</v>
      </c>
      <c r="C547" s="42">
        <f>AVERAGE(K19,K52,K85,K118,K151)</f>
        <v>119141.39697521141</v>
      </c>
      <c r="D547" s="43">
        <f t="shared" si="150"/>
        <v>9.9395872618497597E-2</v>
      </c>
      <c r="E547" s="42">
        <f t="shared" si="151"/>
        <v>2655.06</v>
      </c>
      <c r="F547" s="14"/>
      <c r="G547" s="42">
        <f>AVERAGE(G19,G52,G85,G118)</f>
        <v>110192.52262499949</v>
      </c>
      <c r="H547" s="42">
        <f>AVERAGE(H19,H52,H85,H118)</f>
        <v>27.992003572999195</v>
      </c>
      <c r="I547" s="14"/>
      <c r="J547" s="42">
        <f t="shared" si="152"/>
        <v>118810.8872</v>
      </c>
      <c r="K547" s="42">
        <f t="shared" si="152"/>
        <v>118803.41</v>
      </c>
      <c r="L547" s="43">
        <f t="shared" si="152"/>
        <v>1.4984053972012026E-4</v>
      </c>
      <c r="M547" s="42">
        <f t="shared" si="152"/>
        <v>30.553599999999999</v>
      </c>
      <c r="N547" s="14"/>
      <c r="O547" s="43">
        <f>(J547-C547)/C547</f>
        <v>-2.7740968597184975E-3</v>
      </c>
      <c r="P547" s="43">
        <f>(AVERAGE(C19,C52,C85,C118)-G547)/G547</f>
        <v>-1.2132504258430704E-3</v>
      </c>
      <c r="Q547" s="43">
        <f>(AVERAGE(D19,D52,D85,D118)-G547)/G547</f>
        <v>-1.2980701556880121E-3</v>
      </c>
      <c r="R547" s="43">
        <f>(AVERAGE(F19,F52,F85,F118)-H547)/H547</f>
        <v>6.4303951030395864E-2</v>
      </c>
      <c r="S547" s="2"/>
      <c r="T547" s="2"/>
      <c r="U547" s="2"/>
    </row>
    <row r="548" spans="1:21" x14ac:dyDescent="0.2">
      <c r="A548" s="41" t="s">
        <v>261</v>
      </c>
      <c r="B548" s="14">
        <v>0.5</v>
      </c>
      <c r="C548" s="42">
        <f>AVERAGE(K20,K53,K86,K119,K152)</f>
        <v>187082.0508644864</v>
      </c>
      <c r="D548" s="43">
        <f t="shared" si="150"/>
        <v>0.28668836124020541</v>
      </c>
      <c r="E548" s="42">
        <f t="shared" si="151"/>
        <v>3651.9160000000002</v>
      </c>
      <c r="F548" s="14"/>
      <c r="G548" s="42">
        <f>AVERAGE(G20,G53,G86,G119,G152)</f>
        <v>176899.41089999978</v>
      </c>
      <c r="H548" s="42">
        <f t="shared" ref="H548:H552" si="153">AVERAGE(H20,H53,H86,H119,H152)</f>
        <v>31.698694708199717</v>
      </c>
      <c r="I548" s="14"/>
      <c r="J548" s="42">
        <f t="shared" si="152"/>
        <v>172845.83</v>
      </c>
      <c r="K548" s="42">
        <f t="shared" si="152"/>
        <v>172716.89200000002</v>
      </c>
      <c r="L548" s="43">
        <f t="shared" si="152"/>
        <v>1.4049694278518089E-3</v>
      </c>
      <c r="M548" s="42">
        <f t="shared" si="152"/>
        <v>50.493600000000001</v>
      </c>
      <c r="N548" s="14"/>
      <c r="O548" s="43">
        <f>(J548-C548)/C548</f>
        <v>-7.6096134282804484E-2</v>
      </c>
      <c r="P548" s="43">
        <f>(J548-G548)/G548</f>
        <v>-2.2914609378158205E-2</v>
      </c>
      <c r="Q548" s="43">
        <f>(K548-G548)/G548</f>
        <v>-2.3643486876076238E-2</v>
      </c>
      <c r="R548" s="43">
        <f>(M548-H548)/H548</f>
        <v>0.59292363502079715</v>
      </c>
      <c r="S548" s="2"/>
      <c r="T548" s="2"/>
      <c r="U548" s="2"/>
    </row>
    <row r="549" spans="1:21" x14ac:dyDescent="0.2">
      <c r="A549" s="41" t="s">
        <v>262</v>
      </c>
      <c r="B549" s="14">
        <v>0.5</v>
      </c>
      <c r="C549" s="42">
        <f>AVERAGE(K21,K54,K87,K120,K153)</f>
        <v>212772.41056260298</v>
      </c>
      <c r="D549" s="43">
        <f t="shared" si="150"/>
        <v>0.27480669676636144</v>
      </c>
      <c r="E549" s="42">
        <f t="shared" si="151"/>
        <v>3701.3619999999996</v>
      </c>
      <c r="F549" s="14"/>
      <c r="G549" s="42">
        <f>AVERAGE(G21,G54,G87,G120,G153)</f>
        <v>198165.76324999402</v>
      </c>
      <c r="H549" s="42">
        <f t="shared" si="153"/>
        <v>59.843611416801821</v>
      </c>
      <c r="I549" s="14"/>
      <c r="J549" s="42">
        <f t="shared" si="152"/>
        <v>197259.05359999998</v>
      </c>
      <c r="K549" s="42">
        <f t="shared" si="152"/>
        <v>196852.05200000003</v>
      </c>
      <c r="L549" s="43">
        <f t="shared" si="152"/>
        <v>3.0899892172255696E-3</v>
      </c>
      <c r="M549" s="42">
        <f t="shared" si="152"/>
        <v>87.67</v>
      </c>
      <c r="N549" s="14"/>
      <c r="O549" s="43">
        <f>(J549-C549)/C549</f>
        <v>-7.2910566372695079E-2</v>
      </c>
      <c r="P549" s="43">
        <f>(J549-G549)/G549</f>
        <v>-4.5755111030465322E-3</v>
      </c>
      <c r="Q549" s="43">
        <f>(K549-G549)/G549</f>
        <v>-6.6293552854369622E-3</v>
      </c>
      <c r="R549" s="43">
        <f>(M549-H549)/H549</f>
        <v>0.46498511577771501</v>
      </c>
      <c r="S549" s="2"/>
      <c r="T549" s="2"/>
      <c r="U549" s="2"/>
    </row>
    <row r="550" spans="1:21" x14ac:dyDescent="0.2">
      <c r="A550" s="41" t="s">
        <v>263</v>
      </c>
      <c r="B550" s="14">
        <v>0.5</v>
      </c>
      <c r="C550" s="42" t="s">
        <v>15</v>
      </c>
      <c r="D550" s="43" t="s">
        <v>32</v>
      </c>
      <c r="E550" s="42" t="s">
        <v>32</v>
      </c>
      <c r="F550" s="14"/>
      <c r="G550" s="42">
        <f>AVERAGE(G22,G55,G88,G121,G154)</f>
        <v>231763.56104999961</v>
      </c>
      <c r="H550" s="42">
        <f t="shared" si="153"/>
        <v>158.37943114159987</v>
      </c>
      <c r="I550" s="14"/>
      <c r="J550" s="42">
        <f t="shared" si="152"/>
        <v>231112.5312</v>
      </c>
      <c r="K550" s="42">
        <f t="shared" si="152"/>
        <v>230745.74599999998</v>
      </c>
      <c r="L550" s="43">
        <f t="shared" si="152"/>
        <v>1.5913422324603289E-3</v>
      </c>
      <c r="M550" s="42">
        <f t="shared" si="152"/>
        <v>161.41919999999999</v>
      </c>
      <c r="N550" s="14"/>
      <c r="O550" s="43" t="s">
        <v>32</v>
      </c>
      <c r="P550" s="43">
        <f>(J550-G550)/G550</f>
        <v>-2.8090259186998043E-3</v>
      </c>
      <c r="Q550" s="43">
        <f>(K550-G550)/G550</f>
        <v>-4.3916094721208037E-3</v>
      </c>
      <c r="R550" s="43">
        <f>(M550-H550)/H550</f>
        <v>1.9192952244426256E-2</v>
      </c>
      <c r="S550" s="2"/>
      <c r="T550" s="2"/>
      <c r="U550" s="2"/>
    </row>
    <row r="551" spans="1:21" x14ac:dyDescent="0.2">
      <c r="A551" s="41" t="s">
        <v>264</v>
      </c>
      <c r="B551" s="14">
        <v>0.5</v>
      </c>
      <c r="C551" s="42" t="s">
        <v>15</v>
      </c>
      <c r="D551" s="43" t="s">
        <v>32</v>
      </c>
      <c r="E551" s="42" t="s">
        <v>32</v>
      </c>
      <c r="F551" s="14"/>
      <c r="G551" s="42">
        <f>AVERAGE(G23,G56,G89,G122,G155)</f>
        <v>248091.53669999959</v>
      </c>
      <c r="H551" s="42">
        <f t="shared" si="153"/>
        <v>493.06416328340003</v>
      </c>
      <c r="I551" s="14"/>
      <c r="J551" s="42">
        <f t="shared" si="152"/>
        <v>246739.35240000003</v>
      </c>
      <c r="K551" s="42">
        <f t="shared" si="152"/>
        <v>246052.29800000001</v>
      </c>
      <c r="L551" s="43">
        <f t="shared" si="152"/>
        <v>2.1604452112997945E-3</v>
      </c>
      <c r="M551" s="42">
        <f t="shared" si="152"/>
        <v>248.54600000000005</v>
      </c>
      <c r="N551" s="14"/>
      <c r="O551" s="43" t="s">
        <v>32</v>
      </c>
      <c r="P551" s="43">
        <f>(J551-G551)/G551</f>
        <v>-5.4503443284913923E-3</v>
      </c>
      <c r="Q551" s="43">
        <f>(K551-G551)/G551</f>
        <v>-8.2197028045559398E-3</v>
      </c>
      <c r="R551" s="43">
        <f>(M551-H551)/H551</f>
        <v>-0.49591550449562388</v>
      </c>
      <c r="S551" s="2"/>
      <c r="T551" s="2"/>
      <c r="U551" s="2"/>
    </row>
    <row r="552" spans="1:21" x14ac:dyDescent="0.2">
      <c r="A552" s="41" t="s">
        <v>265</v>
      </c>
      <c r="B552" s="14">
        <v>0.5</v>
      </c>
      <c r="C552" s="42" t="s">
        <v>32</v>
      </c>
      <c r="D552" s="43" t="s">
        <v>32</v>
      </c>
      <c r="E552" s="42" t="s">
        <v>32</v>
      </c>
      <c r="F552" s="14"/>
      <c r="G552" s="42">
        <f>AVERAGE(G24,G57,G90,G123,G156)</f>
        <v>285469.1045999988</v>
      </c>
      <c r="H552" s="42">
        <f t="shared" si="153"/>
        <v>1264.1568243581985</v>
      </c>
      <c r="I552" s="14"/>
      <c r="J552" s="42">
        <f t="shared" si="152"/>
        <v>284207.71999999997</v>
      </c>
      <c r="K552" s="42">
        <f t="shared" si="152"/>
        <v>283560.13</v>
      </c>
      <c r="L552" s="43">
        <f t="shared" si="152"/>
        <v>2.704535964374167E-3</v>
      </c>
      <c r="M552" s="42">
        <f t="shared" si="152"/>
        <v>272.87039999999996</v>
      </c>
      <c r="N552" s="14"/>
      <c r="O552" s="43" t="s">
        <v>32</v>
      </c>
      <c r="P552" s="43">
        <f>(J552-G552)/G552</f>
        <v>-4.4186378829550984E-3</v>
      </c>
      <c r="Q552" s="43">
        <f>(K552-G552)/G552</f>
        <v>-6.6871495697359666E-3</v>
      </c>
      <c r="R552" s="43">
        <f>(M552-H552)/H552</f>
        <v>-0.78414829968699973</v>
      </c>
      <c r="S552" s="2"/>
      <c r="T552" s="2"/>
      <c r="U552" s="2"/>
    </row>
    <row r="553" spans="1:21" x14ac:dyDescent="0.2">
      <c r="A553" s="41" t="s">
        <v>266</v>
      </c>
      <c r="B553" s="14">
        <v>0.5</v>
      </c>
      <c r="C553" s="42" t="s">
        <v>32</v>
      </c>
      <c r="D553" s="43" t="s">
        <v>32</v>
      </c>
      <c r="E553" s="42" t="s">
        <v>32</v>
      </c>
      <c r="F553" s="14"/>
      <c r="G553" s="42">
        <f>AVERAGE(G25,G157)</f>
        <v>329887.09087499196</v>
      </c>
      <c r="H553" s="42">
        <f>AVERAGE(H25,H157)</f>
        <v>2799.4383814159951</v>
      </c>
      <c r="I553" s="14"/>
      <c r="J553" s="42">
        <f t="shared" si="152"/>
        <v>316856.95400000003</v>
      </c>
      <c r="K553" s="42">
        <f t="shared" si="152"/>
        <v>315165.09800000006</v>
      </c>
      <c r="L553" s="43">
        <f t="shared" si="152"/>
        <v>3.5914428339043369E-3</v>
      </c>
      <c r="M553" s="42">
        <f t="shared" si="152"/>
        <v>324.51799999999997</v>
      </c>
      <c r="N553" s="14"/>
      <c r="O553" s="43" t="s">
        <v>32</v>
      </c>
      <c r="P553" s="43">
        <f>(AVERAGE(C25,C157)-G553)/G553</f>
        <v>-6.3373160325078039E-4</v>
      </c>
      <c r="Q553" s="43">
        <f>(AVERAGE(D25,D157)-G553)/G553</f>
        <v>-4.0524952687481172E-3</v>
      </c>
      <c r="R553" s="43">
        <f>(AVERAGE(F25,F157)-H553)/H553</f>
        <v>-0.90745608057679117</v>
      </c>
      <c r="S553" s="2"/>
      <c r="T553" s="2"/>
      <c r="U553" s="2"/>
    </row>
    <row r="554" spans="1:21" x14ac:dyDescent="0.2">
      <c r="A554" s="41" t="s">
        <v>267</v>
      </c>
      <c r="B554" s="14">
        <v>0.5</v>
      </c>
      <c r="C554" s="42" t="s">
        <v>32</v>
      </c>
      <c r="D554" s="43" t="s">
        <v>32</v>
      </c>
      <c r="E554" s="42" t="s">
        <v>32</v>
      </c>
      <c r="F554" s="14"/>
      <c r="G554" s="42" t="s">
        <v>32</v>
      </c>
      <c r="H554" s="42" t="s">
        <v>32</v>
      </c>
      <c r="I554" s="14"/>
      <c r="J554" s="42">
        <f t="shared" si="152"/>
        <v>344983.69880000001</v>
      </c>
      <c r="K554" s="42">
        <f t="shared" si="152"/>
        <v>344242.76599999995</v>
      </c>
      <c r="L554" s="43">
        <f t="shared" si="152"/>
        <v>2.68433465341298E-3</v>
      </c>
      <c r="M554" s="42">
        <f t="shared" si="152"/>
        <v>381.0496</v>
      </c>
      <c r="N554" s="14"/>
      <c r="O554" s="61" t="s">
        <v>32</v>
      </c>
      <c r="P554" s="62" t="s">
        <v>32</v>
      </c>
      <c r="Q554" s="61" t="s">
        <v>32</v>
      </c>
      <c r="R554" s="43" t="s">
        <v>32</v>
      </c>
      <c r="S554" s="2"/>
      <c r="T554" s="2"/>
      <c r="U554" s="2"/>
    </row>
    <row r="555" spans="1:21" x14ac:dyDescent="0.2">
      <c r="A555" s="41" t="s">
        <v>268</v>
      </c>
      <c r="B555" s="14">
        <v>0.5</v>
      </c>
      <c r="C555" s="42" t="s">
        <v>32</v>
      </c>
      <c r="D555" s="43" t="s">
        <v>32</v>
      </c>
      <c r="E555" s="42" t="s">
        <v>32</v>
      </c>
      <c r="F555" s="14"/>
      <c r="G555" s="42" t="s">
        <v>32</v>
      </c>
      <c r="H555" s="42" t="s">
        <v>32</v>
      </c>
      <c r="I555" s="14"/>
      <c r="J555" s="42">
        <f t="shared" si="152"/>
        <v>378293.41159999999</v>
      </c>
      <c r="K555" s="42">
        <f t="shared" si="152"/>
        <v>377941.842</v>
      </c>
      <c r="L555" s="43">
        <f t="shared" si="152"/>
        <v>1.0820227190283553E-3</v>
      </c>
      <c r="M555" s="42">
        <f t="shared" si="152"/>
        <v>341.88479999999998</v>
      </c>
      <c r="N555" s="14"/>
      <c r="O555" s="61" t="s">
        <v>32</v>
      </c>
      <c r="P555" s="62" t="s">
        <v>32</v>
      </c>
      <c r="Q555" s="61" t="s">
        <v>32</v>
      </c>
      <c r="R555" s="43" t="s">
        <v>32</v>
      </c>
      <c r="S555" s="2"/>
      <c r="T555" s="2"/>
      <c r="U555" s="2"/>
    </row>
    <row r="556" spans="1:21" x14ac:dyDescent="0.2">
      <c r="A556" s="41" t="s">
        <v>269</v>
      </c>
      <c r="B556" s="14">
        <v>0.5</v>
      </c>
      <c r="C556" s="42" t="s">
        <v>32</v>
      </c>
      <c r="D556" s="14" t="s">
        <v>32</v>
      </c>
      <c r="E556" s="42" t="s">
        <v>32</v>
      </c>
      <c r="F556" s="14"/>
      <c r="G556" s="42" t="s">
        <v>32</v>
      </c>
      <c r="H556" s="42" t="s">
        <v>32</v>
      </c>
      <c r="I556" s="14"/>
      <c r="J556" s="42">
        <f>C174</f>
        <v>394789.43599999999</v>
      </c>
      <c r="K556" s="42">
        <f>D174</f>
        <v>392419.9</v>
      </c>
      <c r="L556" s="43">
        <f>E174</f>
        <v>3.8508332963469354E-3</v>
      </c>
      <c r="M556" s="42">
        <f>F174</f>
        <v>461.85199999999998</v>
      </c>
      <c r="N556" s="14"/>
      <c r="O556" s="61" t="s">
        <v>32</v>
      </c>
      <c r="P556" s="62" t="s">
        <v>32</v>
      </c>
      <c r="Q556" s="61" t="s">
        <v>32</v>
      </c>
      <c r="R556" s="43" t="s">
        <v>32</v>
      </c>
      <c r="S556" s="2"/>
      <c r="T556" s="2"/>
      <c r="U556" s="2"/>
    </row>
    <row r="557" spans="1:21" x14ac:dyDescent="0.2">
      <c r="A557" s="41" t="s">
        <v>271</v>
      </c>
      <c r="B557" s="14">
        <v>0.5</v>
      </c>
      <c r="C557" s="42">
        <f>AVERAGE(C546:C549)</f>
        <v>148587.808392776</v>
      </c>
      <c r="D557" s="43">
        <f>AVERAGE(D546:D549)</f>
        <v>0.16522273265626611</v>
      </c>
      <c r="E557" s="6">
        <f>AVERAGE(E546:E549)</f>
        <v>2550.4279999999999</v>
      </c>
      <c r="F557" s="14"/>
      <c r="G557" s="42">
        <f>AVERAGE(G546:G553)</f>
        <v>206978.04565624794</v>
      </c>
      <c r="H557" s="42">
        <f>AVERAGE(H546:H553)</f>
        <v>606.46885595487458</v>
      </c>
      <c r="I557" s="14"/>
      <c r="J557" s="42">
        <f>AVERAGE(J546:J556)</f>
        <v>251023.11370909086</v>
      </c>
      <c r="K557" s="42">
        <f>AVERAGE(K546:K556)</f>
        <v>250350.50090909094</v>
      </c>
      <c r="L557" s="43">
        <f>AVERAGE(L546:L556)</f>
        <v>2.0281596450567657E-3</v>
      </c>
      <c r="M557" s="42">
        <f>AVERAGE(M546:M556)</f>
        <v>216.30527272727275</v>
      </c>
      <c r="N557" s="14"/>
      <c r="O557" s="43">
        <f>AVERAGE(O546:O549)</f>
        <v>-3.7945196621214664E-2</v>
      </c>
      <c r="P557" s="43">
        <f>AVERAGE(P546:P553)</f>
        <v>-5.2518875859505878E-3</v>
      </c>
      <c r="Q557" s="43">
        <f>AVERAGE(Q546:Q553)</f>
        <v>-6.8652324349402329E-3</v>
      </c>
      <c r="R557" s="43">
        <f>AVERAGE(R546:R553)</f>
        <v>-0.12113653944652487</v>
      </c>
      <c r="S557" s="2"/>
      <c r="T557" s="2"/>
      <c r="U557" s="2"/>
    </row>
    <row r="558" spans="1:21" x14ac:dyDescent="0.2">
      <c r="A558" s="14"/>
      <c r="B558" s="14"/>
      <c r="C558" s="42"/>
      <c r="D558" s="14"/>
      <c r="E558" s="42"/>
      <c r="F558" s="14"/>
      <c r="G558" s="42"/>
      <c r="H558" s="42"/>
      <c r="I558" s="14"/>
      <c r="J558" s="42"/>
      <c r="K558" s="42"/>
      <c r="L558" s="43"/>
      <c r="M558" s="42"/>
      <c r="N558" s="14"/>
      <c r="O558" s="43"/>
      <c r="P558" s="43"/>
      <c r="Q558" s="43"/>
      <c r="R558" s="43"/>
      <c r="S558" s="2"/>
      <c r="T558" s="2"/>
      <c r="U558" s="2"/>
    </row>
    <row r="559" spans="1:21" x14ac:dyDescent="0.2">
      <c r="A559" s="41" t="s">
        <v>259</v>
      </c>
      <c r="B559" s="14">
        <v>0.3</v>
      </c>
      <c r="C559" s="42">
        <f>AVERAGE(K29,K128)</f>
        <v>108415.80676093331</v>
      </c>
      <c r="D559" s="43">
        <f>AVERAGE(M29,M128)</f>
        <v>0</v>
      </c>
      <c r="E559" s="42">
        <f>AVERAGE(L29,L128)</f>
        <v>796.18000000000006</v>
      </c>
      <c r="F559" s="14"/>
      <c r="G559" s="42">
        <f>AVERAGE(G29)</f>
        <v>75890.497399999993</v>
      </c>
      <c r="H559" s="42">
        <f>AVERAGE(H29)</f>
        <v>19.306857125000501</v>
      </c>
      <c r="I559" s="14"/>
      <c r="J559" s="42">
        <f>AVERAGE(C29,C128)</f>
        <v>108652.753</v>
      </c>
      <c r="K559" s="42">
        <f>AVERAGE(D29,D128)</f>
        <v>108415.81</v>
      </c>
      <c r="L559" s="43">
        <f>AVERAGE(E29,E128)</f>
        <v>3.7465660100649513E-3</v>
      </c>
      <c r="M559" s="42">
        <f>AVERAGE(F29,F128)</f>
        <v>18.003999999999998</v>
      </c>
      <c r="N559" s="14"/>
      <c r="O559" s="43">
        <f>(J559-C559)/C559</f>
        <v>2.1855322221525919E-3</v>
      </c>
      <c r="P559" s="43">
        <f>(AVERAGE(C29)-G559)/G559</f>
        <v>3.4259888868221491E-8</v>
      </c>
      <c r="Q559" s="43">
        <f>(AVERAGE(D29)-G559)/G559</f>
        <v>3.4259888868221491E-8</v>
      </c>
      <c r="R559" s="43">
        <f>(AVERAGE(F29)-H559)/H559</f>
        <v>-6.2923608805670439E-2</v>
      </c>
      <c r="S559" s="2"/>
      <c r="T559" s="2"/>
      <c r="U559" s="2"/>
    </row>
    <row r="560" spans="1:21" x14ac:dyDescent="0.2">
      <c r="A560" s="41" t="s">
        <v>260</v>
      </c>
      <c r="B560" s="14">
        <v>0.3</v>
      </c>
      <c r="C560" s="42">
        <f>AVERAGE(K30,K96,K129)</f>
        <v>132449.50262942168</v>
      </c>
      <c r="D560" s="43">
        <f>AVERAGE(M30,M96,M129)</f>
        <v>8.2655811414023672E-2</v>
      </c>
      <c r="E560" s="42">
        <f>AVERAGE(L30,L96,L129)</f>
        <v>2186.0066666666667</v>
      </c>
      <c r="F560" s="14"/>
      <c r="G560" s="42">
        <f>AVERAGE(G30,G129)</f>
        <v>131545.973425</v>
      </c>
      <c r="H560" s="42">
        <f>AVERAGE(H30,H129)</f>
        <v>26.402713166498799</v>
      </c>
      <c r="I560" s="14"/>
      <c r="J560" s="42">
        <f>AVERAGE(C30,C96,C129)</f>
        <v>132485.18799999999</v>
      </c>
      <c r="K560" s="42">
        <f>AVERAGE(D30,D96,D129)</f>
        <v>132457.42000000001</v>
      </c>
      <c r="L560" s="43">
        <f>AVERAGE(E30,E96,E129)</f>
        <v>1.8849660413973338E-4</v>
      </c>
      <c r="M560" s="42">
        <f>AVERAGE(F30,F96,F129)</f>
        <v>30.225333333333335</v>
      </c>
      <c r="N560" s="14"/>
      <c r="O560" s="43">
        <f>(J560-C560)/C560</f>
        <v>2.6942623316719954E-4</v>
      </c>
      <c r="P560" s="43">
        <f>(AVERAGE(C30,C129)-G560)/G560</f>
        <v>-1.0079072665465705E-2</v>
      </c>
      <c r="Q560" s="43">
        <f>(AVERAGE(D30,D129)-G560)/G560</f>
        <v>-1.0395707214707528E-2</v>
      </c>
      <c r="R560" s="43">
        <f>(AVERAGE(F30,F129)-H560)/H560</f>
        <v>0.28770856940338185</v>
      </c>
      <c r="S560" s="2"/>
      <c r="T560" s="2"/>
      <c r="U560" s="2"/>
    </row>
    <row r="561" spans="1:21" x14ac:dyDescent="0.2">
      <c r="A561" s="41" t="s">
        <v>261</v>
      </c>
      <c r="B561" s="14">
        <v>0.3</v>
      </c>
      <c r="C561" s="42">
        <f>AVERAGE(K31,K163)</f>
        <v>225226.55030249502</v>
      </c>
      <c r="D561" s="43">
        <f>AVERAGE(M31,M163)</f>
        <v>0.36884843796961997</v>
      </c>
      <c r="E561" s="42">
        <f>AVERAGE(L31,L163)</f>
        <v>3664.105</v>
      </c>
      <c r="F561" s="14"/>
      <c r="G561" s="42">
        <f>AVERAGE(G31)</f>
        <v>213033.43075</v>
      </c>
      <c r="H561" s="42">
        <f>AVERAGE(H31)</f>
        <v>33.586795125000201</v>
      </c>
      <c r="I561" s="14"/>
      <c r="J561" s="42">
        <f>AVERAGE(C31,C130,C163)</f>
        <v>232495.71400000001</v>
      </c>
      <c r="K561" s="42">
        <f>AVERAGE(D31,D130,D163)</f>
        <v>232435.09333333335</v>
      </c>
      <c r="L561" s="43">
        <f>AVERAGE(E31,E130,E163)</f>
        <v>8.5403766243300784E-4</v>
      </c>
      <c r="M561" s="42">
        <f>AVERAGE(F31,F130,F163)</f>
        <v>72.976666666666674</v>
      </c>
      <c r="N561" s="14"/>
      <c r="O561" s="43">
        <f>(AVERAGE(C31,C163)-C561)/C561</f>
        <v>-1.9121699003562483E-2</v>
      </c>
      <c r="P561" s="43">
        <f>(AVERAGE(C31)-G561)/G561</f>
        <v>-7.4575801056520383E-2</v>
      </c>
      <c r="Q561" s="43">
        <f>(AVERAGE(D31)-G561)/G561</f>
        <v>-7.5429479276693315E-2</v>
      </c>
      <c r="R561" s="43">
        <f>(AVERAGE(F31)-H561)/H561</f>
        <v>1.9544349090377648</v>
      </c>
      <c r="S561" s="2"/>
      <c r="T561" s="2"/>
      <c r="U561" s="2"/>
    </row>
    <row r="562" spans="1:21" x14ac:dyDescent="0.2">
      <c r="A562" s="41" t="s">
        <v>262</v>
      </c>
      <c r="B562" s="14">
        <v>0.3</v>
      </c>
      <c r="C562" s="42" t="s">
        <v>32</v>
      </c>
      <c r="D562" s="43" t="s">
        <v>32</v>
      </c>
      <c r="E562" s="42" t="s">
        <v>32</v>
      </c>
      <c r="F562" s="14"/>
      <c r="G562" s="42">
        <f>AVERAGE(G32)</f>
        <v>249623.04479999901</v>
      </c>
      <c r="H562" s="42">
        <f>AVERAGE(H32)</f>
        <v>57.063172500002104</v>
      </c>
      <c r="I562" s="14"/>
      <c r="J562" s="42">
        <f t="shared" ref="J562:M568" si="154">AVERAGE(C32,C65,C98,C131,C164)</f>
        <v>265107.60320000001</v>
      </c>
      <c r="K562" s="42">
        <f t="shared" si="154"/>
        <v>264216.85399999999</v>
      </c>
      <c r="L562" s="43">
        <f t="shared" si="154"/>
        <v>5.9888642978746884E-3</v>
      </c>
      <c r="M562" s="42">
        <f t="shared" si="154"/>
        <v>168.7936</v>
      </c>
      <c r="N562" s="14"/>
      <c r="O562" s="43" t="s">
        <v>32</v>
      </c>
      <c r="P562" s="43">
        <f>(AVERAGE(C32)-G562)/G562</f>
        <v>-2.7316327326518657E-2</v>
      </c>
      <c r="Q562" s="43">
        <f>(AVERAGE(D32)-G562)/G562</f>
        <v>-2.7316327326518657E-2</v>
      </c>
      <c r="R562" s="43">
        <f>(AVERAGE(F32)-H562)/H562</f>
        <v>1.516439127179525</v>
      </c>
      <c r="S562" s="2"/>
      <c r="T562" s="2"/>
      <c r="U562" s="2"/>
    </row>
    <row r="563" spans="1:21" x14ac:dyDescent="0.2">
      <c r="A563" s="41" t="s">
        <v>263</v>
      </c>
      <c r="B563" s="14">
        <v>0.3</v>
      </c>
      <c r="C563" s="42" t="s">
        <v>32</v>
      </c>
      <c r="D563" s="43" t="s">
        <v>32</v>
      </c>
      <c r="E563" s="42" t="s">
        <v>32</v>
      </c>
      <c r="F563" s="14"/>
      <c r="G563" s="42">
        <f>AVERAGE(G66)</f>
        <v>348935.89554999903</v>
      </c>
      <c r="H563" s="42">
        <f>AVERAGE(H66)</f>
        <v>306.17616545800001</v>
      </c>
      <c r="I563" s="14"/>
      <c r="J563" s="42">
        <f t="shared" si="154"/>
        <v>327625.49719999998</v>
      </c>
      <c r="K563" s="42">
        <f t="shared" si="154"/>
        <v>325937.20999999996</v>
      </c>
      <c r="L563" s="43">
        <f t="shared" si="154"/>
        <v>7.3126626583704113E-3</v>
      </c>
      <c r="M563" s="42">
        <f t="shared" si="154"/>
        <v>322.17719999999997</v>
      </c>
      <c r="N563" s="14"/>
      <c r="O563" s="43" t="s">
        <v>32</v>
      </c>
      <c r="P563" s="43">
        <f>(AVERAGE(C66)-G563)/G563</f>
        <v>-8.5774636349244288E-2</v>
      </c>
      <c r="Q563" s="43">
        <f>(AVERAGE(D66)-G563)/G563</f>
        <v>-9.1435951293315221E-2</v>
      </c>
      <c r="R563" s="43">
        <f>(AVERAGE(F66)-H563)/H563</f>
        <v>0.32566817992786601</v>
      </c>
      <c r="S563" s="2"/>
      <c r="T563" s="2"/>
      <c r="U563" s="2"/>
    </row>
    <row r="564" spans="1:21" x14ac:dyDescent="0.2">
      <c r="A564" s="41" t="s">
        <v>264</v>
      </c>
      <c r="B564" s="14">
        <v>0.3</v>
      </c>
      <c r="C564" s="42" t="s">
        <v>32</v>
      </c>
      <c r="D564" s="43" t="s">
        <v>32</v>
      </c>
      <c r="E564" s="42" t="s">
        <v>32</v>
      </c>
      <c r="F564" s="14"/>
      <c r="G564" s="42">
        <f>AVERAGE(G34,G133,G166)</f>
        <v>359183.47001666605</v>
      </c>
      <c r="H564" s="42">
        <f>AVERAGE(H34,H133,H166)</f>
        <v>346.91827334733398</v>
      </c>
      <c r="I564" s="14"/>
      <c r="J564" s="42">
        <f t="shared" si="154"/>
        <v>346391.87079999998</v>
      </c>
      <c r="K564" s="42">
        <f t="shared" si="154"/>
        <v>344801.78399999999</v>
      </c>
      <c r="L564" s="43">
        <f t="shared" si="154"/>
        <v>3.5633843597255182E-3</v>
      </c>
      <c r="M564" s="42">
        <f t="shared" si="154"/>
        <v>590.54279999999994</v>
      </c>
      <c r="N564" s="14"/>
      <c r="O564" s="43" t="s">
        <v>32</v>
      </c>
      <c r="P564" s="43">
        <f>(AVERAGE(C34,C133,C166)-G564)/G564</f>
        <v>-2.5894924070144876E-2</v>
      </c>
      <c r="Q564" s="43">
        <f>(AVERAGE(D34,D133,D166)-G564)/G564</f>
        <v>-2.6542424171757551E-2</v>
      </c>
      <c r="R564" s="43">
        <f>(AVERAGE(F34,F133,F166)-H564)/H564</f>
        <v>0.18858157193072356</v>
      </c>
      <c r="S564" s="2"/>
      <c r="T564" s="2"/>
      <c r="U564" s="2"/>
    </row>
    <row r="565" spans="1:21" x14ac:dyDescent="0.2">
      <c r="A565" s="41" t="s">
        <v>265</v>
      </c>
      <c r="B565" s="14">
        <v>0.3</v>
      </c>
      <c r="C565" s="42" t="s">
        <v>32</v>
      </c>
      <c r="D565" s="14" t="s">
        <v>32</v>
      </c>
      <c r="E565" s="42" t="s">
        <v>32</v>
      </c>
      <c r="F565" s="14"/>
      <c r="G565" s="42">
        <f>AVERAGE(G68,G101,G134,G167)</f>
        <v>393950.12141249923</v>
      </c>
      <c r="H565" s="42">
        <f>AVERAGE(H68,H101,H134,H167)</f>
        <v>1258.9796490627461</v>
      </c>
      <c r="I565" s="14"/>
      <c r="J565" s="42">
        <f t="shared" si="154"/>
        <v>380519.06279999996</v>
      </c>
      <c r="K565" s="42">
        <f t="shared" si="154"/>
        <v>379000.47000000003</v>
      </c>
      <c r="L565" s="43">
        <f t="shared" si="154"/>
        <v>4.566755799282886E-3</v>
      </c>
      <c r="M565" s="42">
        <f t="shared" si="154"/>
        <v>881.8768</v>
      </c>
      <c r="N565" s="14"/>
      <c r="O565" s="43" t="s">
        <v>32</v>
      </c>
      <c r="P565" s="43">
        <f>(AVERAGE(C68,C101,C134,C167)-G565)/G565</f>
        <v>-3.6454627456407769E-2</v>
      </c>
      <c r="Q565" s="43">
        <f>(AVERAGE(D68,D101,D134,D167)-G565)/G565</f>
        <v>-3.962611778498084E-2</v>
      </c>
      <c r="R565" s="43">
        <f>(AVERAGE(F68,F101,F134,F167)-H565)/H565</f>
        <v>-0.30713455086474922</v>
      </c>
      <c r="S565" s="2"/>
      <c r="T565" s="2"/>
      <c r="U565" s="2"/>
    </row>
    <row r="566" spans="1:21" x14ac:dyDescent="0.2">
      <c r="A566" s="41" t="s">
        <v>266</v>
      </c>
      <c r="B566" s="14">
        <v>0.3</v>
      </c>
      <c r="C566" s="61" t="s">
        <v>32</v>
      </c>
      <c r="D566" s="62" t="s">
        <v>32</v>
      </c>
      <c r="E566" s="61" t="s">
        <v>32</v>
      </c>
      <c r="F566" s="14"/>
      <c r="G566" s="42">
        <f>AVERAGE(G36,G168)</f>
        <v>438811.17284299503</v>
      </c>
      <c r="H566" s="42">
        <f>AVERAGE(H36,H168)</f>
        <v>2594.4141856249948</v>
      </c>
      <c r="I566" s="14"/>
      <c r="J566" s="42">
        <f t="shared" si="154"/>
        <v>414116.89600000007</v>
      </c>
      <c r="K566" s="42">
        <f t="shared" si="154"/>
        <v>410699.58200000005</v>
      </c>
      <c r="L566" s="43">
        <f t="shared" si="154"/>
        <v>7.3508465541592075E-3</v>
      </c>
      <c r="M566" s="42">
        <f t="shared" si="154"/>
        <v>1128.674</v>
      </c>
      <c r="N566" s="14"/>
      <c r="O566" s="43" t="s">
        <v>32</v>
      </c>
      <c r="P566" s="43">
        <f>(AVERAGE(C36,C168)-G566)/G566</f>
        <v>-2.7187393077759255E-2</v>
      </c>
      <c r="Q566" s="43">
        <f>(AVERAGE(D36,D168)-G566)/G566</f>
        <v>-3.1073212549840103E-2</v>
      </c>
      <c r="R566" s="43">
        <f>(AVERAGE(F36,F168)-H566)/H566</f>
        <v>-0.57888566673219688</v>
      </c>
      <c r="S566" s="2"/>
      <c r="T566" s="2"/>
      <c r="U566" s="2"/>
    </row>
    <row r="567" spans="1:21" x14ac:dyDescent="0.2">
      <c r="A567" s="41" t="s">
        <v>267</v>
      </c>
      <c r="B567" s="14">
        <v>0.3</v>
      </c>
      <c r="C567" s="61" t="s">
        <v>32</v>
      </c>
      <c r="D567" s="62" t="s">
        <v>32</v>
      </c>
      <c r="E567" s="61" t="s">
        <v>32</v>
      </c>
      <c r="F567" s="14"/>
      <c r="G567" s="42" t="s">
        <v>32</v>
      </c>
      <c r="H567" s="42" t="s">
        <v>32</v>
      </c>
      <c r="I567" s="14"/>
      <c r="J567" s="42">
        <f t="shared" si="154"/>
        <v>457182.76079999999</v>
      </c>
      <c r="K567" s="42">
        <f t="shared" si="154"/>
        <v>456156.26199999999</v>
      </c>
      <c r="L567" s="43">
        <f t="shared" si="154"/>
        <v>2.7774575838314126E-3</v>
      </c>
      <c r="M567" s="42">
        <f t="shared" si="154"/>
        <v>1441.0360000000001</v>
      </c>
      <c r="N567" s="14"/>
      <c r="O567" s="61" t="s">
        <v>32</v>
      </c>
      <c r="P567" s="62" t="s">
        <v>32</v>
      </c>
      <c r="Q567" s="61" t="s">
        <v>32</v>
      </c>
      <c r="R567" s="43" t="s">
        <v>32</v>
      </c>
      <c r="S567" s="2"/>
      <c r="T567" s="2"/>
      <c r="U567" s="2"/>
    </row>
    <row r="568" spans="1:21" x14ac:dyDescent="0.2">
      <c r="A568" s="41" t="s">
        <v>268</v>
      </c>
      <c r="B568" s="14">
        <v>0.3</v>
      </c>
      <c r="C568" s="61" t="s">
        <v>32</v>
      </c>
      <c r="D568" s="62" t="s">
        <v>32</v>
      </c>
      <c r="E568" s="61" t="s">
        <v>32</v>
      </c>
      <c r="F568" s="14"/>
      <c r="G568" s="14" t="s">
        <v>32</v>
      </c>
      <c r="H568" s="14" t="s">
        <v>32</v>
      </c>
      <c r="I568" s="14"/>
      <c r="J568" s="42">
        <f t="shared" si="154"/>
        <v>490302.16320000001</v>
      </c>
      <c r="K568" s="42">
        <f t="shared" si="154"/>
        <v>488768.25199999998</v>
      </c>
      <c r="L568" s="43">
        <f t="shared" si="154"/>
        <v>2.5450383292962794E-3</v>
      </c>
      <c r="M568" s="42">
        <f t="shared" si="154"/>
        <v>1556.2387999999999</v>
      </c>
      <c r="N568" s="14"/>
      <c r="O568" s="61" t="s">
        <v>32</v>
      </c>
      <c r="P568" s="62" t="s">
        <v>32</v>
      </c>
      <c r="Q568" s="61" t="s">
        <v>32</v>
      </c>
      <c r="R568" s="14" t="s">
        <v>32</v>
      </c>
      <c r="S568" s="2"/>
      <c r="T568" s="2"/>
      <c r="U568" s="2"/>
    </row>
    <row r="569" spans="1:21" x14ac:dyDescent="0.2">
      <c r="A569" s="41" t="s">
        <v>269</v>
      </c>
      <c r="B569" s="14">
        <v>0.3</v>
      </c>
      <c r="C569" s="61" t="s">
        <v>32</v>
      </c>
      <c r="D569" s="62" t="s">
        <v>32</v>
      </c>
      <c r="E569" s="61" t="s">
        <v>32</v>
      </c>
      <c r="F569" s="14"/>
      <c r="G569" s="14" t="s">
        <v>32</v>
      </c>
      <c r="H569" s="14" t="s">
        <v>32</v>
      </c>
      <c r="I569" s="14"/>
      <c r="J569" s="42">
        <f>C175</f>
        <v>518141.408</v>
      </c>
      <c r="K569" s="42">
        <f>D175</f>
        <v>516269.64</v>
      </c>
      <c r="L569" s="43">
        <f>E175</f>
        <v>2.762128507482644E-3</v>
      </c>
      <c r="M569" s="42">
        <f>F175</f>
        <v>1732.884</v>
      </c>
      <c r="N569" s="14"/>
      <c r="O569" s="61" t="s">
        <v>32</v>
      </c>
      <c r="P569" s="62" t="s">
        <v>32</v>
      </c>
      <c r="Q569" s="61" t="s">
        <v>32</v>
      </c>
      <c r="R569" s="14" t="s">
        <v>32</v>
      </c>
      <c r="S569" s="2"/>
      <c r="T569" s="2"/>
      <c r="U569" s="2"/>
    </row>
    <row r="570" spans="1:21" x14ac:dyDescent="0.2">
      <c r="A570" s="41" t="s">
        <v>270</v>
      </c>
      <c r="B570" s="14"/>
      <c r="C570" s="42">
        <f>AVERAGE(C559:C561)</f>
        <v>155363.95323095002</v>
      </c>
      <c r="D570" s="43">
        <f>AVERAGE(D559:D561)</f>
        <v>0.15050141646121454</v>
      </c>
      <c r="E570" s="42">
        <f>AVERAGE(E559:E561)</f>
        <v>2215.4305555555552</v>
      </c>
      <c r="F570" s="14"/>
      <c r="G570" s="42">
        <f>AVERAGE(G559:G566)</f>
        <v>276371.70077464473</v>
      </c>
      <c r="H570" s="42">
        <f>AVERAGE(H559:H566)</f>
        <v>580.355976426197</v>
      </c>
      <c r="I570" s="14"/>
      <c r="J570" s="42">
        <f>AVERAGE(J559:J569)</f>
        <v>333910.9924545454</v>
      </c>
      <c r="K570" s="42">
        <f>AVERAGE(K559:K569)</f>
        <v>332650.76157575758</v>
      </c>
      <c r="L570" s="43">
        <f>AVERAGE(L559:L569)</f>
        <v>3.7869307606055213E-3</v>
      </c>
      <c r="M570" s="42">
        <f>AVERAGE(M559:M569)</f>
        <v>722.12992727272729</v>
      </c>
      <c r="N570" s="14"/>
      <c r="O570" s="43">
        <f>AVERAGE(O559:O561)</f>
        <v>-5.5555801827475637E-3</v>
      </c>
      <c r="P570" s="43">
        <f>AVERAGE(P559:P566)</f>
        <v>-3.5910343467771506E-2</v>
      </c>
      <c r="Q570" s="43">
        <f>AVERAGE(Q559:Q566)</f>
        <v>-3.7727398169740543E-2</v>
      </c>
      <c r="R570" s="43">
        <f>AVERAGE(R559:R566)</f>
        <v>0.41548606638458052</v>
      </c>
      <c r="S570" s="2"/>
      <c r="T570" s="2"/>
      <c r="U570" s="2"/>
    </row>
    <row r="571" spans="1:21" x14ac:dyDescent="0.2">
      <c r="A571" s="14"/>
      <c r="B571" s="14"/>
      <c r="C571" s="14"/>
      <c r="D571" s="14"/>
      <c r="E571" s="14"/>
      <c r="F571" s="14"/>
      <c r="G571" s="14"/>
      <c r="H571" s="14"/>
      <c r="I571" s="14"/>
      <c r="J571" s="14"/>
      <c r="K571" s="14"/>
      <c r="L571" s="14"/>
      <c r="M571" s="14"/>
      <c r="N571" s="14"/>
      <c r="O571" s="14"/>
      <c r="P571" s="14"/>
      <c r="Q571" s="14"/>
      <c r="R571" s="14"/>
      <c r="S571" s="2"/>
      <c r="T571" s="2"/>
      <c r="U571" s="2"/>
    </row>
    <row r="572" spans="1:21" x14ac:dyDescent="0.2">
      <c r="A572" s="14"/>
      <c r="B572" s="14"/>
      <c r="C572" s="14"/>
      <c r="D572" s="14"/>
      <c r="E572" s="14"/>
      <c r="F572" s="14"/>
      <c r="G572" s="14"/>
      <c r="H572" s="14"/>
      <c r="I572" s="14"/>
      <c r="J572" s="14"/>
      <c r="K572" s="14"/>
      <c r="L572" s="14"/>
      <c r="M572" s="14"/>
      <c r="N572" s="14"/>
      <c r="O572" s="14"/>
      <c r="P572" s="14"/>
      <c r="Q572" s="14"/>
      <c r="R572" s="14"/>
      <c r="S572" s="2"/>
      <c r="T572" s="2"/>
      <c r="U572" s="2"/>
    </row>
    <row r="573" spans="1:21" x14ac:dyDescent="0.2">
      <c r="A573" s="14"/>
      <c r="B573" s="14"/>
      <c r="C573" s="14"/>
      <c r="D573" s="14"/>
      <c r="E573" s="14"/>
      <c r="F573" s="14"/>
      <c r="G573" s="14"/>
      <c r="H573" s="14"/>
      <c r="I573" s="14"/>
      <c r="J573" s="14"/>
      <c r="K573" s="14"/>
      <c r="L573" s="14"/>
      <c r="M573" s="14"/>
      <c r="N573" s="14"/>
      <c r="O573" s="14"/>
      <c r="P573" s="14"/>
      <c r="Q573" s="14"/>
      <c r="R573" s="14"/>
      <c r="S573" s="2"/>
      <c r="T573" s="2"/>
      <c r="U573" s="2"/>
    </row>
    <row r="574" spans="1:21" x14ac:dyDescent="0.2">
      <c r="A574" s="14"/>
      <c r="B574" s="14"/>
      <c r="C574" s="14"/>
      <c r="D574" s="14"/>
      <c r="E574" s="14"/>
      <c r="F574" s="14"/>
      <c r="G574" s="14"/>
      <c r="H574" s="14"/>
      <c r="I574" s="14"/>
      <c r="J574" s="14"/>
      <c r="K574" s="14"/>
      <c r="L574" s="14"/>
      <c r="M574" s="14"/>
      <c r="N574" s="14"/>
      <c r="O574" s="14"/>
      <c r="P574" s="14"/>
      <c r="Q574" s="14"/>
      <c r="R574" s="14"/>
      <c r="S574" s="2"/>
      <c r="T574" s="2"/>
      <c r="U574" s="2"/>
    </row>
    <row r="575" spans="1:21" x14ac:dyDescent="0.2">
      <c r="A575" s="14"/>
      <c r="B575" s="14"/>
      <c r="C575" s="14"/>
      <c r="D575" s="14"/>
      <c r="E575" s="14"/>
      <c r="F575" s="14"/>
      <c r="G575" s="14"/>
      <c r="H575" s="14"/>
      <c r="I575" s="14"/>
      <c r="J575" s="14"/>
      <c r="K575" s="14"/>
      <c r="L575" s="14"/>
      <c r="M575" s="14"/>
      <c r="N575" s="14"/>
      <c r="O575" s="14"/>
      <c r="P575" s="14"/>
      <c r="Q575" s="14"/>
      <c r="R575" s="14"/>
      <c r="S575" s="2"/>
      <c r="T575" s="2"/>
      <c r="U575" s="2"/>
    </row>
    <row r="576" spans="1:21" x14ac:dyDescent="0.2">
      <c r="A576" s="14"/>
      <c r="B576" s="14"/>
      <c r="C576" s="14"/>
      <c r="D576" s="14"/>
      <c r="E576" s="14"/>
      <c r="F576" s="14"/>
      <c r="G576" s="14"/>
      <c r="H576" s="14"/>
      <c r="I576" s="14"/>
      <c r="J576" s="14"/>
      <c r="K576" s="14"/>
      <c r="L576" s="14"/>
      <c r="M576" s="14"/>
      <c r="N576" s="14"/>
      <c r="O576" s="14"/>
      <c r="P576" s="14"/>
      <c r="Q576" s="14"/>
      <c r="R576" s="14"/>
      <c r="S576" s="2"/>
      <c r="T576" s="2"/>
      <c r="U576" s="2"/>
    </row>
    <row r="577" spans="1:21" ht="19" x14ac:dyDescent="0.25">
      <c r="A577" s="35" t="s">
        <v>31</v>
      </c>
      <c r="B577" s="14"/>
      <c r="C577" s="14"/>
      <c r="D577" s="14"/>
      <c r="E577" s="14"/>
      <c r="F577" s="14"/>
      <c r="G577" s="14"/>
      <c r="H577" s="14"/>
      <c r="I577" s="14"/>
      <c r="J577" s="14"/>
      <c r="K577" s="14"/>
      <c r="L577" s="14"/>
      <c r="M577" s="14"/>
      <c r="N577" s="14"/>
      <c r="O577" s="14"/>
      <c r="P577" s="14"/>
      <c r="Q577" s="14"/>
      <c r="R577" s="14"/>
      <c r="S577" s="2"/>
      <c r="T577" s="2"/>
      <c r="U577" s="2"/>
    </row>
    <row r="578" spans="1:21" x14ac:dyDescent="0.2">
      <c r="A578" s="14"/>
      <c r="B578" s="14"/>
      <c r="C578" s="14"/>
      <c r="D578" s="14"/>
      <c r="E578" s="14"/>
      <c r="F578" s="14"/>
      <c r="G578" s="14"/>
      <c r="H578" s="14"/>
      <c r="I578" s="14"/>
      <c r="J578" s="14"/>
      <c r="K578" s="14"/>
      <c r="L578" s="14"/>
      <c r="M578" s="14"/>
      <c r="N578" s="14"/>
      <c r="O578" s="14"/>
      <c r="P578" s="14"/>
      <c r="Q578" s="14"/>
      <c r="R578" s="14"/>
      <c r="S578" s="2"/>
      <c r="T578" s="2"/>
      <c r="U578" s="2"/>
    </row>
    <row r="579" spans="1:21" ht="19" x14ac:dyDescent="0.25">
      <c r="A579" s="39"/>
      <c r="B579" s="39"/>
      <c r="C579" s="40" t="s">
        <v>21</v>
      </c>
      <c r="D579" s="40"/>
      <c r="E579" s="40"/>
      <c r="F579" s="40"/>
      <c r="G579" s="23" t="s">
        <v>37</v>
      </c>
      <c r="H579" s="23"/>
      <c r="I579" s="24"/>
      <c r="J579" s="23" t="s">
        <v>0</v>
      </c>
      <c r="K579" s="23"/>
      <c r="L579" s="23"/>
      <c r="M579" s="23"/>
      <c r="N579" s="23"/>
      <c r="O579" s="24"/>
      <c r="P579" s="24"/>
      <c r="Q579" s="60"/>
      <c r="R579" s="24"/>
      <c r="S579" s="2"/>
      <c r="T579" s="2"/>
      <c r="U579" s="2"/>
    </row>
    <row r="580" spans="1:21" ht="18" x14ac:dyDescent="0.25">
      <c r="A580" s="39" t="s">
        <v>254</v>
      </c>
      <c r="B580" s="39" t="s">
        <v>23</v>
      </c>
      <c r="C580" s="39" t="s">
        <v>6</v>
      </c>
      <c r="D580" s="39" t="s">
        <v>255</v>
      </c>
      <c r="E580" s="39" t="s">
        <v>45</v>
      </c>
      <c r="F580" s="39"/>
      <c r="G580" s="39" t="s">
        <v>34</v>
      </c>
      <c r="H580" s="39" t="s">
        <v>45</v>
      </c>
      <c r="I580" s="39"/>
      <c r="J580" s="39" t="s">
        <v>6</v>
      </c>
      <c r="K580" s="39" t="s">
        <v>43</v>
      </c>
      <c r="L580" s="39" t="s">
        <v>44</v>
      </c>
      <c r="M580" s="39" t="s">
        <v>45</v>
      </c>
      <c r="N580" s="39"/>
      <c r="O580" s="18" t="s">
        <v>256</v>
      </c>
      <c r="P580" s="18" t="s">
        <v>257</v>
      </c>
      <c r="Q580" s="18" t="s">
        <v>258</v>
      </c>
      <c r="R580" s="18" t="s">
        <v>272</v>
      </c>
      <c r="S580" s="25"/>
      <c r="T580" s="2"/>
      <c r="U580" s="2"/>
    </row>
    <row r="581" spans="1:21" x14ac:dyDescent="0.2">
      <c r="A581" s="14" t="s">
        <v>259</v>
      </c>
      <c r="B581" s="14">
        <v>1</v>
      </c>
      <c r="C581" s="42">
        <f t="shared" ref="C581:C589" si="155">AVERAGE(K353,K386,K419,K452,K485)</f>
        <v>48034.123199999944</v>
      </c>
      <c r="D581" s="43">
        <f t="shared" ref="D581:D589" si="156">AVERAGE(M353,M386,M419,M452,M485)</f>
        <v>0</v>
      </c>
      <c r="E581" s="42">
        <f t="shared" ref="E581:E589" si="157">AVERAGE(L353,L386,L419,L452,L485)</f>
        <v>75.913999999999987</v>
      </c>
      <c r="F581" s="14"/>
      <c r="G581" s="42">
        <f>AVERAGE(G353,G386,G419,G452,G485)</f>
        <v>48034.12322199998</v>
      </c>
      <c r="H581" s="42">
        <f>AVERAGE(H353,H386,H419,H452,H485)</f>
        <v>17.604423275199899</v>
      </c>
      <c r="I581" s="14"/>
      <c r="J581" s="42">
        <f>AVERAGE(C353,C386,C419,C452,C485)</f>
        <v>48034.118000000002</v>
      </c>
      <c r="K581" s="42">
        <f>AVERAGE(D353,D386,D419,D452,D485)</f>
        <v>48034.118000000002</v>
      </c>
      <c r="L581" s="43">
        <f>AVERAGE(E353,E386,E419,E452,E485)</f>
        <v>0</v>
      </c>
      <c r="M581" s="42">
        <f>AVERAGE(F353,F386,F419,F452,F485)</f>
        <v>15.603199999999998</v>
      </c>
      <c r="N581" s="14"/>
      <c r="O581" s="43">
        <f t="shared" ref="O581:O589" si="158">(J581-C581)/C581</f>
        <v>-1.0825637265710583E-7</v>
      </c>
      <c r="P581" s="43">
        <f t="shared" ref="P581:P587" si="159">(J581-G581)/G581</f>
        <v>-1.0871438110389886E-7</v>
      </c>
      <c r="Q581" s="43">
        <f t="shared" ref="Q581:Q587" si="160">(K581-G581)/G581</f>
        <v>-1.0871438110389886E-7</v>
      </c>
      <c r="R581" s="43">
        <f t="shared" ref="R581:R587" si="161">(M581-H581)/H581</f>
        <v>-0.11367729825146332</v>
      </c>
      <c r="S581" s="2"/>
      <c r="T581" s="2"/>
      <c r="U581" s="2"/>
    </row>
    <row r="582" spans="1:21" x14ac:dyDescent="0.2">
      <c r="A582" s="14" t="s">
        <v>260</v>
      </c>
      <c r="B582" s="14">
        <v>1</v>
      </c>
      <c r="C582" s="42">
        <f t="shared" si="155"/>
        <v>73656.990468721749</v>
      </c>
      <c r="D582" s="43">
        <f t="shared" si="156"/>
        <v>0</v>
      </c>
      <c r="E582" s="42">
        <f t="shared" si="157"/>
        <v>1276.942</v>
      </c>
      <c r="F582" s="14"/>
      <c r="G582" s="42">
        <f t="shared" ref="G582:H587" si="162">AVERAGE(G354,G387,G420,G453,G486)</f>
        <v>73656.991276999936</v>
      </c>
      <c r="H582" s="42">
        <f t="shared" si="162"/>
        <v>23.328840050191438</v>
      </c>
      <c r="I582" s="14"/>
      <c r="J582" s="42">
        <f t="shared" ref="J582:M590" si="163">AVERAGE(C354,C387,C420,C453,C486)</f>
        <v>73656.98599999999</v>
      </c>
      <c r="K582" s="42">
        <f t="shared" si="163"/>
        <v>73656.98599999999</v>
      </c>
      <c r="L582" s="43">
        <f t="shared" si="163"/>
        <v>2.5220239000315814E-17</v>
      </c>
      <c r="M582" s="42">
        <f t="shared" si="163"/>
        <v>22.928000000000004</v>
      </c>
      <c r="N582" s="14"/>
      <c r="O582" s="43">
        <f t="shared" si="158"/>
        <v>-6.0669350338439582E-8</v>
      </c>
      <c r="P582" s="43">
        <f t="shared" si="159"/>
        <v>-7.1642893011891162E-8</v>
      </c>
      <c r="Q582" s="43">
        <f t="shared" si="160"/>
        <v>-7.1642893011891162E-8</v>
      </c>
      <c r="R582" s="43">
        <f t="shared" si="161"/>
        <v>-1.7182168051606338E-2</v>
      </c>
      <c r="S582" s="2"/>
      <c r="T582" s="2"/>
      <c r="U582" s="2"/>
    </row>
    <row r="583" spans="1:21" x14ac:dyDescent="0.2">
      <c r="A583" s="14" t="s">
        <v>261</v>
      </c>
      <c r="B583" s="14">
        <v>1</v>
      </c>
      <c r="C583" s="42">
        <f t="shared" si="155"/>
        <v>99733.445825006231</v>
      </c>
      <c r="D583" s="43">
        <f t="shared" si="156"/>
        <v>8.0737607681248283E-2</v>
      </c>
      <c r="E583" s="42">
        <f t="shared" si="157"/>
        <v>2717.8740000000003</v>
      </c>
      <c r="F583" s="14"/>
      <c r="G583" s="42">
        <f t="shared" si="162"/>
        <v>99582.024087999802</v>
      </c>
      <c r="H583" s="42">
        <f t="shared" si="162"/>
        <v>28.378166583197846</v>
      </c>
      <c r="I583" s="14"/>
      <c r="J583" s="42">
        <f t="shared" si="163"/>
        <v>99588.898000000001</v>
      </c>
      <c r="K583" s="42">
        <f t="shared" si="163"/>
        <v>99588.898000000001</v>
      </c>
      <c r="L583" s="43">
        <f t="shared" si="163"/>
        <v>3.0303909812695867E-17</v>
      </c>
      <c r="M583" s="42">
        <f t="shared" si="163"/>
        <v>31.974799999999998</v>
      </c>
      <c r="N583" s="14"/>
      <c r="O583" s="43">
        <f t="shared" si="158"/>
        <v>-1.4493415304215542E-3</v>
      </c>
      <c r="P583" s="43">
        <f t="shared" si="159"/>
        <v>6.9027638905238355E-5</v>
      </c>
      <c r="Q583" s="43">
        <f t="shared" si="160"/>
        <v>6.9027638905238355E-5</v>
      </c>
      <c r="R583" s="43">
        <f t="shared" si="161"/>
        <v>0.12673945676714887</v>
      </c>
      <c r="S583" s="2"/>
      <c r="T583" s="2"/>
      <c r="U583" s="2"/>
    </row>
    <row r="584" spans="1:21" x14ac:dyDescent="0.2">
      <c r="A584" s="14" t="s">
        <v>262</v>
      </c>
      <c r="B584" s="14">
        <v>1</v>
      </c>
      <c r="C584" s="42">
        <f t="shared" si="155"/>
        <v>119610.73491469919</v>
      </c>
      <c r="D584" s="43">
        <f t="shared" si="156"/>
        <v>0.17914964214785839</v>
      </c>
      <c r="E584" s="42">
        <f t="shared" si="157"/>
        <v>3695.54</v>
      </c>
      <c r="F584" s="14"/>
      <c r="G584" s="42">
        <f t="shared" si="162"/>
        <v>117448.7401209994</v>
      </c>
      <c r="H584" s="42">
        <f t="shared" si="162"/>
        <v>40.477331391797598</v>
      </c>
      <c r="I584" s="14"/>
      <c r="J584" s="42">
        <f t="shared" si="163"/>
        <v>118784.226</v>
      </c>
      <c r="K584" s="42">
        <f t="shared" si="163"/>
        <v>118784.226</v>
      </c>
      <c r="L584" s="43">
        <f t="shared" si="163"/>
        <v>6.0612988155491907E-17</v>
      </c>
      <c r="M584" s="42">
        <f t="shared" si="163"/>
        <v>39.548000000000002</v>
      </c>
      <c r="N584" s="14"/>
      <c r="O584" s="43">
        <f t="shared" si="158"/>
        <v>-6.9099894360537418E-3</v>
      </c>
      <c r="P584" s="43">
        <f t="shared" si="159"/>
        <v>1.1370797827415915E-2</v>
      </c>
      <c r="Q584" s="43">
        <f t="shared" si="160"/>
        <v>1.1370797827415915E-2</v>
      </c>
      <c r="R584" s="43">
        <f t="shared" si="161"/>
        <v>-2.2959304871217816E-2</v>
      </c>
      <c r="S584" s="2"/>
      <c r="T584" s="2"/>
      <c r="U584" s="2"/>
    </row>
    <row r="585" spans="1:21" x14ac:dyDescent="0.2">
      <c r="A585" s="14" t="s">
        <v>263</v>
      </c>
      <c r="B585" s="14">
        <v>1</v>
      </c>
      <c r="C585" s="42">
        <f t="shared" si="155"/>
        <v>140118.77763300019</v>
      </c>
      <c r="D585" s="43">
        <f t="shared" si="156"/>
        <v>0.25440298487801377</v>
      </c>
      <c r="E585" s="42">
        <f t="shared" si="157"/>
        <v>3742.2860000000001</v>
      </c>
      <c r="F585" s="14"/>
      <c r="G585" s="42">
        <f t="shared" si="162"/>
        <v>135767.4408879992</v>
      </c>
      <c r="H585" s="42">
        <f t="shared" si="162"/>
        <v>90.701970649786887</v>
      </c>
      <c r="I585" s="14"/>
      <c r="J585" s="42">
        <f t="shared" si="163"/>
        <v>136130.2464</v>
      </c>
      <c r="K585" s="42">
        <f t="shared" si="163"/>
        <v>135795.14000000001</v>
      </c>
      <c r="L585" s="43">
        <f>AVERAGE(E357,E390,E423,E456,E489)</f>
        <v>3.8265615214892147E-3</v>
      </c>
      <c r="M585" s="42">
        <f t="shared" si="163"/>
        <v>52.368399999999994</v>
      </c>
      <c r="N585" s="14"/>
      <c r="O585" s="43">
        <f t="shared" si="158"/>
        <v>-2.8465358464994404E-2</v>
      </c>
      <c r="P585" s="43">
        <f t="shared" si="159"/>
        <v>2.6722571304861049E-3</v>
      </c>
      <c r="Q585" s="43">
        <f t="shared" si="160"/>
        <v>2.040188120189084E-4</v>
      </c>
      <c r="R585" s="43">
        <f t="shared" si="161"/>
        <v>-0.42263216967796896</v>
      </c>
      <c r="S585" s="2"/>
      <c r="T585" s="2"/>
      <c r="U585" s="2"/>
    </row>
    <row r="586" spans="1:21" x14ac:dyDescent="0.2">
      <c r="A586" s="14" t="s">
        <v>264</v>
      </c>
      <c r="B586" s="14">
        <v>1</v>
      </c>
      <c r="C586" s="42">
        <f t="shared" si="155"/>
        <v>153500.46959249742</v>
      </c>
      <c r="D586" s="43">
        <f t="shared" si="156"/>
        <v>0.24581165382086917</v>
      </c>
      <c r="E586" s="42">
        <f t="shared" si="157"/>
        <v>3800.9600000000005</v>
      </c>
      <c r="F586" s="14"/>
      <c r="G586" s="42">
        <f t="shared" si="162"/>
        <v>148123.49534221261</v>
      </c>
      <c r="H586" s="42">
        <f t="shared" si="162"/>
        <v>281.20578885840621</v>
      </c>
      <c r="I586" s="14"/>
      <c r="J586" s="42">
        <f t="shared" si="163"/>
        <v>148340.89039999997</v>
      </c>
      <c r="K586" s="42">
        <f t="shared" si="163"/>
        <v>148123.26199999999</v>
      </c>
      <c r="L586" s="43">
        <f t="shared" si="163"/>
        <v>1.8614857080813899E-3</v>
      </c>
      <c r="M586" s="42">
        <f t="shared" si="163"/>
        <v>66.879600000000011</v>
      </c>
      <c r="N586" s="14"/>
      <c r="O586" s="43">
        <f t="shared" si="158"/>
        <v>-3.3612790932788322E-2</v>
      </c>
      <c r="P586" s="43">
        <f t="shared" si="159"/>
        <v>1.4676608682850075E-3</v>
      </c>
      <c r="Q586" s="43">
        <f t="shared" si="160"/>
        <v>-1.5753220789568381E-6</v>
      </c>
      <c r="R586" s="43">
        <f t="shared" si="161"/>
        <v>-0.76216848070053256</v>
      </c>
      <c r="S586" s="2"/>
      <c r="T586" s="2"/>
      <c r="U586" s="2"/>
    </row>
    <row r="587" spans="1:21" x14ac:dyDescent="0.2">
      <c r="A587" s="14" t="s">
        <v>265</v>
      </c>
      <c r="B587" s="14">
        <v>1</v>
      </c>
      <c r="C587" s="42">
        <f t="shared" si="155"/>
        <v>178853.73570237221</v>
      </c>
      <c r="D587" s="43">
        <f t="shared" si="156"/>
        <v>0.26551509005802559</v>
      </c>
      <c r="E587" s="42">
        <f t="shared" si="157"/>
        <v>3896.44</v>
      </c>
      <c r="F587" s="14"/>
      <c r="G587" s="42">
        <f t="shared" si="162"/>
        <v>173013.82579724261</v>
      </c>
      <c r="H587" s="42">
        <f t="shared" si="162"/>
        <v>1157.1649104666035</v>
      </c>
      <c r="I587" s="14"/>
      <c r="J587" s="42">
        <f t="shared" si="163"/>
        <v>173046.2432</v>
      </c>
      <c r="K587" s="42">
        <f t="shared" si="163"/>
        <v>173033.158</v>
      </c>
      <c r="L587" s="43">
        <f t="shared" si="163"/>
        <v>1.1848538450931817E-4</v>
      </c>
      <c r="M587" s="42">
        <f t="shared" si="163"/>
        <v>81.683199999999985</v>
      </c>
      <c r="N587" s="14"/>
      <c r="O587" s="43">
        <f t="shared" si="158"/>
        <v>-3.2470624555678153E-2</v>
      </c>
      <c r="P587" s="43">
        <f t="shared" si="159"/>
        <v>1.8736885684142004E-4</v>
      </c>
      <c r="Q587" s="43">
        <f t="shared" si="160"/>
        <v>1.1173790688869151E-4</v>
      </c>
      <c r="R587" s="43">
        <f t="shared" si="161"/>
        <v>-0.92941092556370131</v>
      </c>
      <c r="S587" s="2"/>
      <c r="T587" s="2"/>
      <c r="U587" s="2"/>
    </row>
    <row r="588" spans="1:21" x14ac:dyDescent="0.2">
      <c r="A588" s="14" t="s">
        <v>266</v>
      </c>
      <c r="B588" s="14">
        <v>1</v>
      </c>
      <c r="C588" s="42">
        <f t="shared" si="155"/>
        <v>217471.72592188598</v>
      </c>
      <c r="D588" s="43">
        <f t="shared" si="156"/>
        <v>0.34148627652960861</v>
      </c>
      <c r="E588" s="42">
        <f t="shared" si="157"/>
        <v>4008.7580000000003</v>
      </c>
      <c r="F588" s="14"/>
      <c r="G588" s="42">
        <f>AVERAGE(G360)</f>
        <v>193340.78416499999</v>
      </c>
      <c r="H588" s="42">
        <f>AVERAGE(H360)</f>
        <v>1348.3713286670099</v>
      </c>
      <c r="I588" s="14"/>
      <c r="J588" s="42">
        <f t="shared" si="163"/>
        <v>189248.03520000001</v>
      </c>
      <c r="K588" s="42">
        <f t="shared" si="163"/>
        <v>188767.54399999999</v>
      </c>
      <c r="L588" s="43">
        <f t="shared" si="163"/>
        <v>3.8347567005165223E-3</v>
      </c>
      <c r="M588" s="42">
        <f>AVERAGE(F360,F393,F426,F459,F492)</f>
        <v>81.098800000000011</v>
      </c>
      <c r="N588" s="14"/>
      <c r="O588" s="43">
        <f t="shared" si="158"/>
        <v>-0.12978096624856733</v>
      </c>
      <c r="P588" s="43">
        <f>(AVERAGE(C360)-G588)/G588</f>
        <v>4.9180199568680449E-3</v>
      </c>
      <c r="Q588" s="43">
        <f>(AVERAGE(D360)-G588)/G588</f>
        <v>8.1770556420777323E-4</v>
      </c>
      <c r="R588" s="43">
        <f>(AVERAGE(F360)-H588)/H588</f>
        <v>-0.94866102643369443</v>
      </c>
      <c r="S588" s="2"/>
      <c r="T588" s="2"/>
      <c r="U588" s="2"/>
    </row>
    <row r="589" spans="1:21" x14ac:dyDescent="0.2">
      <c r="A589" s="14" t="s">
        <v>267</v>
      </c>
      <c r="B589" s="14">
        <v>1</v>
      </c>
      <c r="C589" s="42">
        <f t="shared" si="155"/>
        <v>235221.21107649081</v>
      </c>
      <c r="D589" s="43">
        <f t="shared" si="156"/>
        <v>0.33676458725427122</v>
      </c>
      <c r="E589" s="42">
        <f t="shared" si="157"/>
        <v>4134.1399999999994</v>
      </c>
      <c r="F589" s="14"/>
      <c r="G589" s="42" t="s">
        <v>32</v>
      </c>
      <c r="H589" s="42" t="s">
        <v>32</v>
      </c>
      <c r="I589" s="14"/>
      <c r="J589" s="42">
        <f t="shared" si="163"/>
        <v>208765.40160000004</v>
      </c>
      <c r="K589" s="42">
        <f t="shared" si="163"/>
        <v>208544.90600000002</v>
      </c>
      <c r="L589" s="43">
        <f t="shared" si="163"/>
        <v>1.6319631384570123E-3</v>
      </c>
      <c r="M589" s="42">
        <f t="shared" si="163"/>
        <v>104.8788</v>
      </c>
      <c r="N589" s="14"/>
      <c r="O589" s="43">
        <f t="shared" si="158"/>
        <v>-0.11247204006567119</v>
      </c>
      <c r="P589" s="43" t="s">
        <v>32</v>
      </c>
      <c r="Q589" s="43" t="s">
        <v>32</v>
      </c>
      <c r="R589" s="43" t="s">
        <v>32</v>
      </c>
      <c r="S589" s="2"/>
      <c r="T589" s="2"/>
      <c r="U589" s="2"/>
    </row>
    <row r="590" spans="1:21" x14ac:dyDescent="0.2">
      <c r="A590" s="14" t="s">
        <v>268</v>
      </c>
      <c r="B590" s="14">
        <v>1</v>
      </c>
      <c r="C590" s="42">
        <f>AVERAGE(K428)</f>
        <v>255965.467999999</v>
      </c>
      <c r="D590" s="43">
        <f>AVERAGE(M428)</f>
        <v>0.33740136844086999</v>
      </c>
      <c r="E590" s="42">
        <f>AVERAGE(L428)</f>
        <v>4362.9399999999996</v>
      </c>
      <c r="F590" s="14"/>
      <c r="G590" s="42" t="s">
        <v>32</v>
      </c>
      <c r="H590" s="42" t="s">
        <v>32</v>
      </c>
      <c r="I590" s="14"/>
      <c r="J590" s="42">
        <f t="shared" si="163"/>
        <v>229683.33</v>
      </c>
      <c r="K590" s="42">
        <f t="shared" si="163"/>
        <v>229631.57400000002</v>
      </c>
      <c r="L590" s="43">
        <f t="shared" si="163"/>
        <v>2.4839149207050255E-4</v>
      </c>
      <c r="M590" s="42">
        <f t="shared" si="163"/>
        <v>108.54</v>
      </c>
      <c r="N590" s="14"/>
      <c r="O590" s="43">
        <f>(AVERAGE(C428)-C590)/C590</f>
        <v>-9.7643077385731969E-2</v>
      </c>
      <c r="P590" s="43" t="s">
        <v>32</v>
      </c>
      <c r="Q590" s="43" t="s">
        <v>32</v>
      </c>
      <c r="R590" s="43" t="s">
        <v>32</v>
      </c>
      <c r="S590" s="2"/>
      <c r="T590" s="2"/>
      <c r="U590" s="2"/>
    </row>
    <row r="591" spans="1:21" x14ac:dyDescent="0.2">
      <c r="A591" s="14" t="s">
        <v>269</v>
      </c>
      <c r="B591" s="14">
        <v>1</v>
      </c>
      <c r="C591" s="42" t="s">
        <v>32</v>
      </c>
      <c r="D591" s="43" t="s">
        <v>32</v>
      </c>
      <c r="E591" s="42" t="s">
        <v>32</v>
      </c>
      <c r="F591" s="14"/>
      <c r="G591" s="42" t="s">
        <v>32</v>
      </c>
      <c r="H591" s="42" t="s">
        <v>32</v>
      </c>
      <c r="I591" s="14"/>
      <c r="J591" s="42">
        <f>C518</f>
        <v>234355.96000000002</v>
      </c>
      <c r="K591" s="42">
        <f>D518</f>
        <v>234355.96</v>
      </c>
      <c r="L591" s="43">
        <f>E518</f>
        <v>1.3884465175727834E-16</v>
      </c>
      <c r="M591" s="42">
        <f>F518</f>
        <v>99.835999999999999</v>
      </c>
      <c r="N591" s="14"/>
      <c r="O591" s="43" t="s">
        <v>32</v>
      </c>
      <c r="P591" s="43" t="s">
        <v>32</v>
      </c>
      <c r="Q591" s="43" t="s">
        <v>32</v>
      </c>
      <c r="R591" s="43" t="s">
        <v>32</v>
      </c>
      <c r="S591" s="2"/>
      <c r="T591" s="2"/>
      <c r="U591" s="2"/>
    </row>
    <row r="592" spans="1:21" x14ac:dyDescent="0.2">
      <c r="A592" s="14" t="s">
        <v>270</v>
      </c>
      <c r="B592" s="14">
        <v>1</v>
      </c>
      <c r="C592" s="42">
        <f>AVERAGE(C581:C590)</f>
        <v>152216.66823346727</v>
      </c>
      <c r="D592" s="43">
        <f>AVERAGE(D581:D590)</f>
        <v>0.2041269210810765</v>
      </c>
      <c r="E592" s="42">
        <f>AVERAGE(E581:E590)</f>
        <v>3171.1794</v>
      </c>
      <c r="F592" s="14"/>
      <c r="G592" s="42">
        <f>AVERAGE(G581:G588)</f>
        <v>123620.92811255668</v>
      </c>
      <c r="H592" s="42">
        <f>AVERAGE(H581:H588)</f>
        <v>373.40409499277416</v>
      </c>
      <c r="I592" s="14"/>
      <c r="J592" s="42">
        <f>AVERAGE(J581:J591)</f>
        <v>150875.84861818183</v>
      </c>
      <c r="K592" s="42">
        <f>AVERAGE(K581:K591)</f>
        <v>150755.97927272727</v>
      </c>
      <c r="L592" s="43">
        <f>AVERAGE(L581:L591)</f>
        <v>1.0474221768294741E-3</v>
      </c>
      <c r="M592" s="42">
        <f>AVERAGE(M581:M591)</f>
        <v>64.121709090909093</v>
      </c>
      <c r="N592" s="14"/>
      <c r="O592" s="43">
        <f>AVERAGE(O581:O590)</f>
        <v>-4.4280435754562961E-2</v>
      </c>
      <c r="P592" s="43">
        <f>AVERAGE(P581:P588)</f>
        <v>2.5856189901909523E-3</v>
      </c>
      <c r="Q592" s="43">
        <f>AVERAGE(Q581:Q588)</f>
        <v>1.5714415087604318E-3</v>
      </c>
      <c r="R592" s="43">
        <f>AVERAGE(R581:R588)</f>
        <v>-0.38624398959787948</v>
      </c>
      <c r="S592" s="2"/>
      <c r="T592" s="2"/>
      <c r="U592" s="2"/>
    </row>
    <row r="593" spans="1:21" x14ac:dyDescent="0.2">
      <c r="A593" s="14"/>
      <c r="B593" s="14"/>
      <c r="C593" s="42"/>
      <c r="D593" s="43"/>
      <c r="E593" s="42"/>
      <c r="F593" s="14"/>
      <c r="G593" s="42"/>
      <c r="H593" s="42"/>
      <c r="I593" s="14"/>
      <c r="J593" s="42"/>
      <c r="K593" s="42"/>
      <c r="L593" s="43"/>
      <c r="M593" s="42"/>
      <c r="N593" s="14"/>
      <c r="O593" s="43"/>
      <c r="P593" s="43"/>
      <c r="Q593" s="43"/>
      <c r="R593" s="43"/>
      <c r="S593" s="2"/>
      <c r="T593" s="2"/>
      <c r="U593" s="2"/>
    </row>
    <row r="594" spans="1:21" x14ac:dyDescent="0.2">
      <c r="A594" s="14" t="s">
        <v>259</v>
      </c>
      <c r="B594" s="14">
        <v>0.5</v>
      </c>
      <c r="C594" s="42">
        <f>AVERAGE(K364,K397,K430,K463,K496)</f>
        <v>59069.466541501017</v>
      </c>
      <c r="D594" s="43">
        <f t="shared" ref="D594:D596" si="164">AVERAGE(M364,M397,M430,M463,M496)</f>
        <v>0</v>
      </c>
      <c r="E594" s="42">
        <f t="shared" ref="E594:E596" si="165">AVERAGE(L364,L397,L430,L463,L496)</f>
        <v>182.83199999999999</v>
      </c>
      <c r="F594" s="14"/>
      <c r="G594" s="42">
        <f>AVERAGE(G364,G397,G430,G463,G496)</f>
        <v>59069.466599994434</v>
      </c>
      <c r="H594" s="42">
        <f>AVERAGE(H364,H397,H430,H463,H496)</f>
        <v>17.037830025004201</v>
      </c>
      <c r="I594" s="14"/>
      <c r="J594" s="42">
        <f>AVERAGE(C364,C397,C430,C463,C496)</f>
        <v>59069.467999999993</v>
      </c>
      <c r="K594" s="42">
        <f>AVERAGE(D364,D397,D430,D463,D496)</f>
        <v>59069.467999999993</v>
      </c>
      <c r="L594" s="43">
        <f>AVERAGE(E364,E397,E430,E463,E496)</f>
        <v>2.9383055312193183E-17</v>
      </c>
      <c r="M594" s="42">
        <f>AVERAGE(F364,F397,F430,F463,F496)</f>
        <v>15.879200000000001</v>
      </c>
      <c r="N594" s="14"/>
      <c r="O594" s="43">
        <f>(J594-C594)/C594</f>
        <v>2.4691250185788041E-8</v>
      </c>
      <c r="P594" s="43">
        <f t="shared" ref="P594:P600" si="166">(J594-G594)/G594</f>
        <v>2.3701002233945387E-8</v>
      </c>
      <c r="Q594" s="43">
        <f t="shared" ref="Q594:Q600" si="167">(K594-G594)/G594</f>
        <v>2.3701002233945387E-8</v>
      </c>
      <c r="R594" s="43">
        <f t="shared" ref="R594:R600" si="168">(M594-H594)/H594</f>
        <v>-6.8003379732268124E-2</v>
      </c>
      <c r="S594" s="2"/>
      <c r="T594" s="2"/>
      <c r="U594" s="2"/>
    </row>
    <row r="595" spans="1:21" x14ac:dyDescent="0.2">
      <c r="A595" s="14" t="s">
        <v>260</v>
      </c>
      <c r="B595" s="14">
        <v>0.5</v>
      </c>
      <c r="C595" s="42">
        <f>AVERAGE(K365,K398,K431,K464,K497)</f>
        <v>91485.331148880767</v>
      </c>
      <c r="D595" s="43">
        <f t="shared" si="164"/>
        <v>0.13095747327607898</v>
      </c>
      <c r="E595" s="42">
        <f t="shared" si="165"/>
        <v>2721.8740000000003</v>
      </c>
      <c r="F595" s="14"/>
      <c r="G595" s="42">
        <f>AVERAGE(G365,G398,G431,G464,G497)</f>
        <v>93636.988399999493</v>
      </c>
      <c r="H595" s="42">
        <f>AVERAGE(H365,H398,H431,H464,H497)</f>
        <v>24.78419450839278</v>
      </c>
      <c r="I595" s="14"/>
      <c r="J595" s="42">
        <f t="shared" ref="J595:M603" si="169">AVERAGE(C365,C398,C431,C464,C497)</f>
        <v>91481.209999999992</v>
      </c>
      <c r="K595" s="42">
        <f t="shared" si="169"/>
        <v>91481.209999999992</v>
      </c>
      <c r="L595" s="43">
        <f t="shared" si="169"/>
        <v>0</v>
      </c>
      <c r="M595" s="42">
        <f t="shared" si="169"/>
        <v>28.606000000000002</v>
      </c>
      <c r="N595" s="14"/>
      <c r="O595" s="43">
        <f>(J595-C595)/C595</f>
        <v>-4.5047100218374978E-5</v>
      </c>
      <c r="P595" s="43">
        <f t="shared" si="166"/>
        <v>-2.3022722503530588E-2</v>
      </c>
      <c r="Q595" s="43">
        <f t="shared" si="167"/>
        <v>-2.3022722503530588E-2</v>
      </c>
      <c r="R595" s="43">
        <f t="shared" si="168"/>
        <v>0.15420333673999481</v>
      </c>
      <c r="S595" s="2"/>
      <c r="T595" s="2"/>
      <c r="U595" s="2"/>
    </row>
    <row r="596" spans="1:21" x14ac:dyDescent="0.2">
      <c r="A596" s="14" t="s">
        <v>261</v>
      </c>
      <c r="B596" s="14">
        <v>0.5</v>
      </c>
      <c r="C596" s="42">
        <f>AVERAGE(K366,K399,K432,K465,K498)</f>
        <v>132973.84500484</v>
      </c>
      <c r="D596" s="43">
        <f t="shared" si="164"/>
        <v>0.27620498703165303</v>
      </c>
      <c r="E596" s="42">
        <f t="shared" si="165"/>
        <v>3642.3720000000003</v>
      </c>
      <c r="F596" s="14"/>
      <c r="G596" s="42">
        <f>AVERAGE(G366,G399,G432,G465,G498)</f>
        <v>131036.2151999966</v>
      </c>
      <c r="H596" s="42">
        <f t="shared" ref="H596:H600" si="170">AVERAGE(H366,H399,H432,H465,H498)</f>
        <v>31.234008758404478</v>
      </c>
      <c r="I596" s="14"/>
      <c r="J596" s="42">
        <f t="shared" si="169"/>
        <v>126804.15</v>
      </c>
      <c r="K596" s="42">
        <f t="shared" si="169"/>
        <v>126804.15</v>
      </c>
      <c r="L596" s="43">
        <f t="shared" si="169"/>
        <v>0</v>
      </c>
      <c r="M596" s="42">
        <f t="shared" si="169"/>
        <v>41.094399999999993</v>
      </c>
      <c r="N596" s="14"/>
      <c r="O596" s="43">
        <f>(J596-C596)/C596</f>
        <v>-4.6397808566154025E-2</v>
      </c>
      <c r="P596" s="43">
        <f t="shared" si="166"/>
        <v>-3.2296912678203761E-2</v>
      </c>
      <c r="Q596" s="43">
        <f t="shared" si="167"/>
        <v>-3.2296912678203761E-2</v>
      </c>
      <c r="R596" s="43">
        <f t="shared" si="168"/>
        <v>0.31569406661392035</v>
      </c>
      <c r="S596" s="2"/>
      <c r="T596" s="2"/>
      <c r="U596" s="2"/>
    </row>
    <row r="597" spans="1:21" x14ac:dyDescent="0.2">
      <c r="A597" s="14" t="s">
        <v>262</v>
      </c>
      <c r="B597" s="14">
        <v>0.5</v>
      </c>
      <c r="C597" s="42">
        <f>AVERAGE(K367,K400,K466,K499)</f>
        <v>156513.157124616</v>
      </c>
      <c r="D597" s="43">
        <f>AVERAGE(M367,M400,M466,M499)</f>
        <v>0.27167246521065525</v>
      </c>
      <c r="E597" s="42">
        <f>AVERAGE(L367,L400,L466,L499)</f>
        <v>3696.1824999999999</v>
      </c>
      <c r="F597" s="14"/>
      <c r="G597" s="42">
        <f>AVERAGE(G367,G400,G433,G466,G499)</f>
        <v>149692.9709999944</v>
      </c>
      <c r="H597" s="42">
        <f t="shared" si="170"/>
        <v>70.491439891597707</v>
      </c>
      <c r="I597" s="14"/>
      <c r="J597" s="42">
        <f t="shared" si="169"/>
        <v>148694.27799999999</v>
      </c>
      <c r="K597" s="42">
        <f t="shared" si="169"/>
        <v>148694.27799999999</v>
      </c>
      <c r="L597" s="43">
        <f t="shared" si="169"/>
        <v>0</v>
      </c>
      <c r="M597" s="42">
        <f t="shared" si="169"/>
        <v>59.167200000000001</v>
      </c>
      <c r="N597" s="14"/>
      <c r="O597" s="43">
        <f>(AVERAGE(C367,C400,C466,C499)-C597)/C597</f>
        <v>-2.5638545016512686E-2</v>
      </c>
      <c r="P597" s="43">
        <f t="shared" si="166"/>
        <v>-6.6716091832691908E-3</v>
      </c>
      <c r="Q597" s="43">
        <f t="shared" si="167"/>
        <v>-6.6716091832691908E-3</v>
      </c>
      <c r="R597" s="43">
        <f t="shared" si="168"/>
        <v>-0.16064702195063985</v>
      </c>
      <c r="S597" s="2"/>
      <c r="T597" s="2"/>
      <c r="U597" s="2"/>
    </row>
    <row r="598" spans="1:21" x14ac:dyDescent="0.2">
      <c r="A598" s="14" t="s">
        <v>263</v>
      </c>
      <c r="B598" s="14">
        <v>0.5</v>
      </c>
      <c r="C598" s="42">
        <f>AVERAGE(K368,K401,K467)</f>
        <v>177728.63522502431</v>
      </c>
      <c r="D598" s="43">
        <f>AVERAGE(M368,M401,M467)</f>
        <v>0.29287910643159193</v>
      </c>
      <c r="E598" s="42">
        <f>AVERAGE(L368,L401,L467)</f>
        <v>3739.77</v>
      </c>
      <c r="F598" s="14"/>
      <c r="G598" s="42">
        <f>AVERAGE(G368,G401,G434,G467,G500)</f>
        <v>173890.3961499974</v>
      </c>
      <c r="H598" s="42">
        <f t="shared" si="170"/>
        <v>203.67897734199909</v>
      </c>
      <c r="I598" s="14"/>
      <c r="J598" s="42">
        <f t="shared" si="169"/>
        <v>172750.75640000001</v>
      </c>
      <c r="K598" s="42">
        <f t="shared" si="169"/>
        <v>172614.89199999999</v>
      </c>
      <c r="L598" s="43">
        <f t="shared" si="169"/>
        <v>1.6905481496287231E-3</v>
      </c>
      <c r="M598" s="42">
        <f t="shared" si="169"/>
        <v>90.41040000000001</v>
      </c>
      <c r="N598" s="14"/>
      <c r="O598" s="43">
        <f>(AVERAGE(C368,C401,C467)-C598)/C598</f>
        <v>-3.435082113035904E-2</v>
      </c>
      <c r="P598" s="43">
        <f t="shared" si="166"/>
        <v>-6.5537820099870981E-3</v>
      </c>
      <c r="Q598" s="43">
        <f t="shared" si="167"/>
        <v>-7.335104055414059E-3</v>
      </c>
      <c r="R598" s="43">
        <f t="shared" si="168"/>
        <v>-0.55611324654192884</v>
      </c>
      <c r="S598" s="2"/>
      <c r="T598" s="2"/>
      <c r="U598" s="2"/>
    </row>
    <row r="599" spans="1:21" x14ac:dyDescent="0.2">
      <c r="A599" s="14" t="s">
        <v>264</v>
      </c>
      <c r="B599" s="14">
        <v>0.5</v>
      </c>
      <c r="C599" s="42">
        <f>AVERAGE(K402)</f>
        <v>190289.63182498</v>
      </c>
      <c r="D599" s="43">
        <f>AVERAGE(M402)</f>
        <v>0.26876905741646701</v>
      </c>
      <c r="E599" s="42">
        <f>AVERAGE(L402)</f>
        <v>3783.38</v>
      </c>
      <c r="F599" s="14"/>
      <c r="G599" s="42">
        <f>AVERAGE(G369,G402,G435,G468,G501)</f>
        <v>187947.1697499954</v>
      </c>
      <c r="H599" s="42">
        <f t="shared" si="170"/>
        <v>650.8163062085963</v>
      </c>
      <c r="I599" s="14"/>
      <c r="J599" s="42">
        <f t="shared" si="169"/>
        <v>186024.89480000001</v>
      </c>
      <c r="K599" s="42">
        <f t="shared" si="169"/>
        <v>185885.726</v>
      </c>
      <c r="L599" s="43">
        <f t="shared" si="169"/>
        <v>1.1571627639623161E-3</v>
      </c>
      <c r="M599" s="42">
        <f t="shared" si="169"/>
        <v>119.25320000000002</v>
      </c>
      <c r="N599" s="14"/>
      <c r="O599" s="43">
        <f>(AVERAGE(C402)-C599)/C599</f>
        <v>-4.2612052728327084E-2</v>
      </c>
      <c r="P599" s="43">
        <f t="shared" si="166"/>
        <v>-1.0227740872886651E-2</v>
      </c>
      <c r="Q599" s="43">
        <f t="shared" si="167"/>
        <v>-1.0968208527627791E-2</v>
      </c>
      <c r="R599" s="43">
        <f t="shared" si="168"/>
        <v>-0.81676365686852115</v>
      </c>
      <c r="S599" s="2"/>
      <c r="T599" s="2"/>
      <c r="U599" s="2"/>
    </row>
    <row r="600" spans="1:21" x14ac:dyDescent="0.2">
      <c r="A600" s="14" t="s">
        <v>265</v>
      </c>
      <c r="B600" s="14">
        <v>0.5</v>
      </c>
      <c r="C600" s="42">
        <f>AVERAGE(K370,K403,K469)</f>
        <v>240844.92263390365</v>
      </c>
      <c r="D600" s="43">
        <f>AVERAGE(M370,M403,M469)</f>
        <v>0.3278721357492127</v>
      </c>
      <c r="E600" s="42">
        <f>AVERAGE(L370,L403,L469)</f>
        <v>3890.5333333333333</v>
      </c>
      <c r="F600" s="14"/>
      <c r="G600" s="42">
        <f>AVERAGE(G370,G403,G436,G469,G502)</f>
        <v>218399.47989999657</v>
      </c>
      <c r="H600" s="42">
        <f t="shared" si="170"/>
        <v>1854.3614191249958</v>
      </c>
      <c r="I600" s="14"/>
      <c r="J600" s="42">
        <f t="shared" si="169"/>
        <v>217169.5404</v>
      </c>
      <c r="K600" s="42">
        <f t="shared" si="169"/>
        <v>217104.87799999997</v>
      </c>
      <c r="L600" s="43">
        <f t="shared" si="169"/>
        <v>3.8318658602660093E-4</v>
      </c>
      <c r="M600" s="42">
        <f t="shared" si="169"/>
        <v>151.86360000000002</v>
      </c>
      <c r="N600" s="14"/>
      <c r="O600" s="43">
        <f>(AVERAGE(C370,C403,C469)-C600)/C600</f>
        <v>-9.4369637186769412E-2</v>
      </c>
      <c r="P600" s="43">
        <f t="shared" si="166"/>
        <v>-5.6316045283613001E-3</v>
      </c>
      <c r="Q600" s="43">
        <f t="shared" si="167"/>
        <v>-5.9276784935082798E-3</v>
      </c>
      <c r="R600" s="43">
        <f t="shared" si="168"/>
        <v>-0.91810463783718121</v>
      </c>
      <c r="S600" s="2"/>
      <c r="T600" s="2"/>
      <c r="U600" s="2"/>
    </row>
    <row r="601" spans="1:21" x14ac:dyDescent="0.2">
      <c r="A601" s="14" t="s">
        <v>266</v>
      </c>
      <c r="B601" s="14">
        <v>0.5</v>
      </c>
      <c r="C601" s="42">
        <f>AVERAGE(K470)</f>
        <v>293557.921999869</v>
      </c>
      <c r="D601" s="43">
        <f>AVERAGE(M470)</f>
        <v>0.407683997516327</v>
      </c>
      <c r="E601" s="42">
        <f>AVERAGE(L470)</f>
        <v>3968.33</v>
      </c>
      <c r="F601" s="14"/>
      <c r="G601" s="42">
        <f>AVERAGE(G371)</f>
        <v>246202.25049999999</v>
      </c>
      <c r="H601" s="42">
        <f>AVERAGE(H371)</f>
        <v>2459.38092787499</v>
      </c>
      <c r="I601" s="14"/>
      <c r="J601" s="42">
        <f t="shared" si="169"/>
        <v>239070.36359999998</v>
      </c>
      <c r="K601" s="42">
        <f t="shared" si="169"/>
        <v>238079.17199999996</v>
      </c>
      <c r="L601" s="43">
        <f t="shared" si="169"/>
        <v>4.300625755562653E-3</v>
      </c>
      <c r="M601" s="42">
        <f>AVERAGE(F371,F404,F437,F470,F503)</f>
        <v>161.77960000000002</v>
      </c>
      <c r="N601" s="14"/>
      <c r="O601" s="43">
        <f>(AVERAGE(C470)-C601)/C601</f>
        <v>-0.18868961744419802</v>
      </c>
      <c r="P601" s="43">
        <f>(AVERAGE(C371)-G601)/G601</f>
        <v>-3.7132824665224466E-3</v>
      </c>
      <c r="Q601" s="43">
        <f>(AVERAGE(D371)-G601)/G601</f>
        <v>-1.0793039034385204E-2</v>
      </c>
      <c r="R601" s="43">
        <f>(AVERAGE(F371)-H601)/H601</f>
        <v>-0.95132758872639156</v>
      </c>
      <c r="S601" s="2"/>
      <c r="T601" s="2"/>
      <c r="U601" s="2"/>
    </row>
    <row r="602" spans="1:21" x14ac:dyDescent="0.2">
      <c r="A602" s="14" t="s">
        <v>267</v>
      </c>
      <c r="B602" s="14">
        <v>0.5</v>
      </c>
      <c r="C602" s="42" t="s">
        <v>32</v>
      </c>
      <c r="D602" s="43" t="s">
        <v>32</v>
      </c>
      <c r="E602" s="42" t="s">
        <v>32</v>
      </c>
      <c r="F602" s="14"/>
      <c r="G602" s="42" t="s">
        <v>32</v>
      </c>
      <c r="H602" s="42" t="s">
        <v>32</v>
      </c>
      <c r="I602" s="14"/>
      <c r="J602" s="42">
        <f t="shared" si="169"/>
        <v>262335.7132</v>
      </c>
      <c r="K602" s="42">
        <f t="shared" si="169"/>
        <v>262312.25400000002</v>
      </c>
      <c r="L602" s="43">
        <f t="shared" si="169"/>
        <v>7.0292788464800296E-5</v>
      </c>
      <c r="M602" s="42">
        <f t="shared" si="169"/>
        <v>184.8784</v>
      </c>
      <c r="N602" s="14"/>
      <c r="O602" s="61" t="s">
        <v>32</v>
      </c>
      <c r="P602" s="62" t="s">
        <v>32</v>
      </c>
      <c r="Q602" s="61" t="s">
        <v>32</v>
      </c>
      <c r="R602" s="43" t="s">
        <v>32</v>
      </c>
      <c r="S602" s="2"/>
      <c r="T602" s="2"/>
      <c r="U602" s="2"/>
    </row>
    <row r="603" spans="1:21" x14ac:dyDescent="0.2">
      <c r="A603" s="14" t="s">
        <v>268</v>
      </c>
      <c r="B603" s="14">
        <v>0.5</v>
      </c>
      <c r="C603" s="42" t="s">
        <v>32</v>
      </c>
      <c r="D603" s="43" t="s">
        <v>32</v>
      </c>
      <c r="E603" s="42" t="s">
        <v>32</v>
      </c>
      <c r="F603" s="14"/>
      <c r="G603" s="42" t="s">
        <v>32</v>
      </c>
      <c r="H603" s="42" t="s">
        <v>32</v>
      </c>
      <c r="I603" s="14"/>
      <c r="J603" s="42">
        <f t="shared" si="169"/>
        <v>288089.11399999994</v>
      </c>
      <c r="K603" s="42">
        <f t="shared" si="169"/>
        <v>287562.49000000005</v>
      </c>
      <c r="L603" s="43">
        <f t="shared" si="169"/>
        <v>2.1206624076802938E-3</v>
      </c>
      <c r="M603" s="42">
        <f t="shared" si="169"/>
        <v>157.69400000000002</v>
      </c>
      <c r="N603" s="14"/>
      <c r="O603" s="61" t="s">
        <v>32</v>
      </c>
      <c r="P603" s="62" t="s">
        <v>32</v>
      </c>
      <c r="Q603" s="61" t="s">
        <v>32</v>
      </c>
      <c r="R603" s="43" t="s">
        <v>32</v>
      </c>
      <c r="S603" s="2"/>
      <c r="T603" s="2"/>
      <c r="U603" s="2"/>
    </row>
    <row r="604" spans="1:21" x14ac:dyDescent="0.2">
      <c r="A604" s="14" t="s">
        <v>269</v>
      </c>
      <c r="B604" s="14">
        <v>0.5</v>
      </c>
      <c r="C604" s="42" t="s">
        <v>32</v>
      </c>
      <c r="D604" s="43" t="s">
        <v>32</v>
      </c>
      <c r="E604" s="42" t="s">
        <v>32</v>
      </c>
      <c r="F604" s="14"/>
      <c r="G604" s="42" t="s">
        <v>32</v>
      </c>
      <c r="H604" s="42" t="s">
        <v>32</v>
      </c>
      <c r="I604" s="14"/>
      <c r="J604" s="42">
        <f>C519</f>
        <v>295177.26599999995</v>
      </c>
      <c r="K604" s="42">
        <f>D519</f>
        <v>295147.93</v>
      </c>
      <c r="L604" s="43">
        <f>E519</f>
        <v>5.5557539268543032E-5</v>
      </c>
      <c r="M604" s="42">
        <f>F519</f>
        <v>161.92599999999999</v>
      </c>
      <c r="N604" s="14"/>
      <c r="O604" s="61" t="s">
        <v>32</v>
      </c>
      <c r="P604" s="62" t="s">
        <v>32</v>
      </c>
      <c r="Q604" s="61" t="s">
        <v>32</v>
      </c>
      <c r="R604" s="43" t="s">
        <v>32</v>
      </c>
      <c r="S604" s="2"/>
      <c r="T604" s="2"/>
      <c r="U604" s="2"/>
    </row>
    <row r="605" spans="1:21" x14ac:dyDescent="0.2">
      <c r="A605" s="14" t="s">
        <v>270</v>
      </c>
      <c r="B605" s="14">
        <v>0.5</v>
      </c>
      <c r="C605" s="42">
        <f>AVERAGE(C594:C601)</f>
        <v>167807.86393795183</v>
      </c>
      <c r="D605" s="43">
        <f>AVERAGE(D594:D601)</f>
        <v>0.24700490282899823</v>
      </c>
      <c r="E605" s="42">
        <f>AVERAGE(E594:E601)</f>
        <v>3203.1592291666666</v>
      </c>
      <c r="F605" s="14"/>
      <c r="G605" s="42">
        <f>AVERAGE(G594:G601)</f>
        <v>157484.36718749677</v>
      </c>
      <c r="H605" s="42">
        <f>AVERAGE(H594:H601)</f>
        <v>663.97313796674757</v>
      </c>
      <c r="I605" s="14"/>
      <c r="J605" s="42">
        <f>AVERAGE(J594:J604)</f>
        <v>189696.97767272728</v>
      </c>
      <c r="K605" s="42">
        <f>AVERAGE(K594:K604)</f>
        <v>189523.31345454545</v>
      </c>
      <c r="L605" s="43">
        <f>AVERAGE(L594:L604)</f>
        <v>8.8891236278126906E-4</v>
      </c>
      <c r="M605" s="42">
        <f>AVERAGE(M594:M604)</f>
        <v>106.59563636363636</v>
      </c>
      <c r="N605" s="14"/>
      <c r="O605" s="43">
        <f>AVERAGE(O594:O601)</f>
        <v>-5.4012938060161053E-2</v>
      </c>
      <c r="P605" s="43">
        <f>AVERAGE(P594:P601)</f>
        <v>-1.1014703817719849E-2</v>
      </c>
      <c r="Q605" s="43">
        <f>AVERAGE(Q594:Q601)</f>
        <v>-1.2126906346867082E-2</v>
      </c>
      <c r="R605" s="43">
        <f>AVERAGE(R594:R601)</f>
        <v>-0.37513276603787699</v>
      </c>
      <c r="S605" s="2"/>
      <c r="T605" s="2"/>
      <c r="U605" s="2"/>
    </row>
    <row r="606" spans="1:21" x14ac:dyDescent="0.2">
      <c r="A606" s="14"/>
      <c r="B606" s="14"/>
      <c r="C606" s="42"/>
      <c r="D606" s="43"/>
      <c r="E606" s="42"/>
      <c r="F606" s="14"/>
      <c r="G606" s="42"/>
      <c r="H606" s="42"/>
      <c r="I606" s="14"/>
      <c r="J606" s="42"/>
      <c r="K606" s="42"/>
      <c r="L606" s="43"/>
      <c r="M606" s="42"/>
      <c r="N606" s="14"/>
      <c r="O606" s="14"/>
      <c r="P606" s="14"/>
      <c r="Q606" s="14"/>
      <c r="R606" s="14"/>
      <c r="S606" s="2"/>
      <c r="T606" s="2"/>
      <c r="U606" s="2"/>
    </row>
    <row r="607" spans="1:21" x14ac:dyDescent="0.2">
      <c r="A607" s="14" t="s">
        <v>259</v>
      </c>
      <c r="B607" s="14">
        <v>0.3</v>
      </c>
      <c r="C607" s="42">
        <f>AVERAGE(K375,K408,K441,K474,K507)</f>
        <v>77800.868772994349</v>
      </c>
      <c r="D607" s="43">
        <f>AVERAGE(M375,M408,M441,M474,M507)</f>
        <v>6.4991736415877993E-2</v>
      </c>
      <c r="E607" s="42">
        <f>AVERAGE(L375,L408,L441,L474,L507)</f>
        <v>937.78600000000006</v>
      </c>
      <c r="F607" s="14"/>
      <c r="G607" s="42">
        <f t="shared" ref="G607:H609" si="171">AVERAGE(G375,G441,G474)</f>
        <v>64528.92153333329</v>
      </c>
      <c r="H607" s="42">
        <f t="shared" si="171"/>
        <v>19.835362777341832</v>
      </c>
      <c r="I607" s="14"/>
      <c r="J607" s="42">
        <f t="shared" ref="J607:M616" si="172">AVERAGE(C375,C408,C441,C474,C507)</f>
        <v>77880.627599999993</v>
      </c>
      <c r="K607" s="42">
        <f t="shared" si="172"/>
        <v>77800.705999999991</v>
      </c>
      <c r="L607" s="43">
        <f t="shared" si="172"/>
        <v>1.3742943357781942E-3</v>
      </c>
      <c r="M607" s="42">
        <f>AVERAGE(F375,F408,F441,F474,F507)</f>
        <v>24.018399999999996</v>
      </c>
      <c r="N607" s="14"/>
      <c r="O607" s="43">
        <f>(J607-C607)/C607</f>
        <v>1.0251662772348021E-3</v>
      </c>
      <c r="P607" s="43">
        <f>(AVERAGE(C375,C441,C474)-G607)/G607</f>
        <v>2.0642599241008168E-3</v>
      </c>
      <c r="Q607" s="43">
        <f>(AVERAGE(D375,D441,D474)-G607)/G607</f>
        <v>2.7894469740762826E-8</v>
      </c>
      <c r="R607" s="43">
        <f>(AVERAGE(F375,F441,F474)-H607)/H607</f>
        <v>-0.159346523991266</v>
      </c>
      <c r="S607" s="2"/>
      <c r="T607" s="2"/>
      <c r="U607" s="2"/>
    </row>
    <row r="608" spans="1:21" x14ac:dyDescent="0.2">
      <c r="A608" s="14" t="s">
        <v>260</v>
      </c>
      <c r="B608" s="14">
        <v>0.3</v>
      </c>
      <c r="C608" s="42">
        <f>AVERAGE(K376,K409,K442,K475)</f>
        <v>103064.27208037478</v>
      </c>
      <c r="D608" s="43">
        <f>AVERAGE(M376,M409,M442,M475)</f>
        <v>0.20480686216212701</v>
      </c>
      <c r="E608" s="42">
        <f>AVERAGE(L376,L409,L442,L475)</f>
        <v>2916.9025000000001</v>
      </c>
      <c r="F608" s="14"/>
      <c r="G608" s="42">
        <f t="shared" si="171"/>
        <v>97759.904733332907</v>
      </c>
      <c r="H608" s="42">
        <f t="shared" si="171"/>
        <v>25.033782569667235</v>
      </c>
      <c r="I608" s="14"/>
      <c r="J608" s="42">
        <f t="shared" si="172"/>
        <v>117015.09599999999</v>
      </c>
      <c r="K608" s="42">
        <f t="shared" si="172"/>
        <v>117011.72199999999</v>
      </c>
      <c r="L608" s="43">
        <f t="shared" si="172"/>
        <v>6.4151313018419605E-5</v>
      </c>
      <c r="M608" s="42">
        <f t="shared" si="172"/>
        <v>39.233199999999997</v>
      </c>
      <c r="N608" s="14"/>
      <c r="O608" s="43">
        <f>(AVERAGE(C376,C442,C475,C409)-C608)/C608</f>
        <v>-2.7822646450281659E-3</v>
      </c>
      <c r="P608" s="43">
        <f>(AVERAGE(C376,C442,C475)-G608)/G608</f>
        <v>7.6959226660784045E-4</v>
      </c>
      <c r="Q608" s="43">
        <f>(AVERAGE(D376,D442,D475)-G608)/G608</f>
        <v>7.6959226660784045E-4</v>
      </c>
      <c r="R608" s="43">
        <f>(AVERAGE(F376,F442,F475)-H608)/H608</f>
        <v>9.0606260720707057E-2</v>
      </c>
      <c r="S608" s="2"/>
      <c r="T608" s="2"/>
      <c r="U608" s="2"/>
    </row>
    <row r="609" spans="1:21" x14ac:dyDescent="0.2">
      <c r="A609" s="14" t="s">
        <v>261</v>
      </c>
      <c r="B609" s="14">
        <v>0.3</v>
      </c>
      <c r="C609" s="42">
        <f>AVERAGE(K377,K443,K476,K509)</f>
        <v>164246.42132238875</v>
      </c>
      <c r="D609" s="43">
        <f>AVERAGE(M377,M443,M476,M509)</f>
        <v>0.33356604526243849</v>
      </c>
      <c r="E609" s="42">
        <f>AVERAGE(L377,L443,L476,L509)</f>
        <v>3641.61</v>
      </c>
      <c r="F609" s="14"/>
      <c r="G609" s="42">
        <f t="shared" si="171"/>
        <v>148463.93321666599</v>
      </c>
      <c r="H609" s="42">
        <f t="shared" si="171"/>
        <v>30.441136055669563</v>
      </c>
      <c r="I609" s="14"/>
      <c r="J609" s="42">
        <f t="shared" si="172"/>
        <v>158850.7464</v>
      </c>
      <c r="K609" s="42">
        <f t="shared" si="172"/>
        <v>158746.22800000003</v>
      </c>
      <c r="L609" s="43">
        <f t="shared" si="172"/>
        <v>4.3334160027218483E-4</v>
      </c>
      <c r="M609" s="42">
        <f t="shared" si="172"/>
        <v>68.199600000000004</v>
      </c>
      <c r="N609" s="14"/>
      <c r="O609" s="43">
        <f>(AVERAGE(C377,C443,C476,C509)-C609)/C609</f>
        <v>-6.8908733178261211E-2</v>
      </c>
      <c r="P609" s="43">
        <f>(AVERAGE(C377,C443,C476)-G609)/G609</f>
        <v>-9.296016795216246E-3</v>
      </c>
      <c r="Q609" s="43">
        <f>(AVERAGE(D377,D443,D476)-G609)/G609</f>
        <v>-9.296016795216246E-3</v>
      </c>
      <c r="R609" s="43">
        <f>(AVERAGE(F377,F443,F476)-H609)/H609</f>
        <v>0.56148355456925869</v>
      </c>
      <c r="S609" s="2"/>
      <c r="T609" s="2"/>
      <c r="U609" s="2"/>
    </row>
    <row r="610" spans="1:21" x14ac:dyDescent="0.2">
      <c r="A610" s="14" t="s">
        <v>262</v>
      </c>
      <c r="B610" s="14">
        <v>0.3</v>
      </c>
      <c r="C610" s="42">
        <f>AVERAGE(K378,K477,K510)</f>
        <v>210601.83450539899</v>
      </c>
      <c r="D610" s="43">
        <f>AVERAGE(M378,M477,M510)</f>
        <v>0.41012566296155234</v>
      </c>
      <c r="E610" s="42">
        <f>AVERAGE(L378,L477,L510)</f>
        <v>3697.7433333333333</v>
      </c>
      <c r="F610" s="14"/>
      <c r="G610" s="42">
        <f>AVERAGE(G378,G411,G444,G477,G510)</f>
        <v>182175.51588999919</v>
      </c>
      <c r="H610" s="42">
        <f t="shared" ref="H610:H613" si="173">AVERAGE(H378,H411,H444,H477,H510)</f>
        <v>80.108734283197336</v>
      </c>
      <c r="I610" s="14"/>
      <c r="J610" s="42">
        <f t="shared" si="172"/>
        <v>178176.14880000002</v>
      </c>
      <c r="K610" s="42">
        <f t="shared" si="172"/>
        <v>176821.372</v>
      </c>
      <c r="L610" s="43">
        <f t="shared" si="172"/>
        <v>1.083133261818898E-2</v>
      </c>
      <c r="M610" s="42">
        <f t="shared" si="172"/>
        <v>140.0384</v>
      </c>
      <c r="N610" s="14"/>
      <c r="O610" s="43">
        <f>(AVERAGE(C378,C477,C510)-C610)/C610</f>
        <v>-0.11156673552842815</v>
      </c>
      <c r="P610" s="43">
        <f>(J610-G610)/G610</f>
        <v>-2.1953373209680157E-2</v>
      </c>
      <c r="Q610" s="43">
        <f>(K610-G610)/G610</f>
        <v>-2.9390030069859217E-2</v>
      </c>
      <c r="R610" s="43">
        <f>(M610-H610)/H610</f>
        <v>0.7481040145378105</v>
      </c>
      <c r="S610" s="2"/>
      <c r="T610" s="2"/>
      <c r="U610" s="2"/>
    </row>
    <row r="611" spans="1:21" x14ac:dyDescent="0.2">
      <c r="A611" s="14" t="s">
        <v>263</v>
      </c>
      <c r="B611" s="14">
        <v>0.3</v>
      </c>
      <c r="C611" s="42" t="s">
        <v>32</v>
      </c>
      <c r="D611" s="43" t="s">
        <v>32</v>
      </c>
      <c r="E611" s="42" t="s">
        <v>32</v>
      </c>
      <c r="F611" s="14"/>
      <c r="G611" s="42">
        <f>AVERAGE(G379,G412,G445,G478,G511)</f>
        <v>215410.76907999939</v>
      </c>
      <c r="H611" s="42">
        <f t="shared" si="173"/>
        <v>198.57117115019605</v>
      </c>
      <c r="I611" s="14"/>
      <c r="J611" s="42">
        <f t="shared" si="172"/>
        <v>208418.6924</v>
      </c>
      <c r="K611" s="42">
        <f t="shared" si="172"/>
        <v>208121.49400000001</v>
      </c>
      <c r="L611" s="43">
        <f t="shared" si="172"/>
        <v>2.1207028917570579E-3</v>
      </c>
      <c r="M611" s="42">
        <f t="shared" si="172"/>
        <v>242.64760000000001</v>
      </c>
      <c r="N611" s="14"/>
      <c r="O611" s="43" t="s">
        <v>32</v>
      </c>
      <c r="P611" s="43">
        <f>(J611-G611)/G611</f>
        <v>-3.2459271696869831E-2</v>
      </c>
      <c r="Q611" s="43">
        <f>(K611-G611)/G611</f>
        <v>-3.3838953879284865E-2</v>
      </c>
      <c r="R611" s="43">
        <f>(M611-H611)/H611</f>
        <v>0.22196791505281124</v>
      </c>
      <c r="S611" s="2"/>
      <c r="T611" s="2"/>
      <c r="U611" s="2"/>
    </row>
    <row r="612" spans="1:21" x14ac:dyDescent="0.2">
      <c r="A612" s="14" t="s">
        <v>264</v>
      </c>
      <c r="B612" s="14">
        <v>0.3</v>
      </c>
      <c r="C612" s="42" t="s">
        <v>32</v>
      </c>
      <c r="D612" s="43" t="s">
        <v>32</v>
      </c>
      <c r="E612" s="42" t="s">
        <v>32</v>
      </c>
      <c r="F612" s="14"/>
      <c r="G612" s="42">
        <f>AVERAGE(G380,G413,G446,G479,G512)</f>
        <v>229365.40388999917</v>
      </c>
      <c r="H612" s="42">
        <f t="shared" si="173"/>
        <v>616.21357384161013</v>
      </c>
      <c r="I612" s="14"/>
      <c r="J612" s="42">
        <f t="shared" si="172"/>
        <v>224099.84559999997</v>
      </c>
      <c r="K612" s="42">
        <f t="shared" si="172"/>
        <v>223221.016</v>
      </c>
      <c r="L612" s="43">
        <f t="shared" si="172"/>
        <v>3.3701967498129875E-3</v>
      </c>
      <c r="M612" s="42">
        <f t="shared" si="172"/>
        <v>476.33799999999991</v>
      </c>
      <c r="N612" s="14"/>
      <c r="O612" s="43" t="s">
        <v>32</v>
      </c>
      <c r="P612" s="43">
        <f>(J612-G612)/G612</f>
        <v>-2.2957072865812393E-2</v>
      </c>
      <c r="Q612" s="43">
        <f>(K612-G612)/G612</f>
        <v>-2.6788642863271313E-2</v>
      </c>
      <c r="R612" s="43">
        <f>(M612-H612)/H612</f>
        <v>-0.22699203616953018</v>
      </c>
      <c r="S612" s="2"/>
      <c r="T612" s="2"/>
      <c r="U612" s="2"/>
    </row>
    <row r="613" spans="1:21" x14ac:dyDescent="0.2">
      <c r="A613" s="14" t="s">
        <v>265</v>
      </c>
      <c r="B613" s="14">
        <v>0.3</v>
      </c>
      <c r="C613" s="61" t="s">
        <v>32</v>
      </c>
      <c r="D613" s="62" t="s">
        <v>32</v>
      </c>
      <c r="E613" s="61" t="s">
        <v>32</v>
      </c>
      <c r="F613" s="14"/>
      <c r="G613" s="42">
        <f>AVERAGE(G381,G414,G447,G480,G513)</f>
        <v>257792.17283999937</v>
      </c>
      <c r="H613" s="42">
        <f t="shared" si="173"/>
        <v>1555.6619530497965</v>
      </c>
      <c r="I613" s="14"/>
      <c r="J613" s="42">
        <f t="shared" si="172"/>
        <v>254873.8052</v>
      </c>
      <c r="K613" s="42">
        <f t="shared" si="172"/>
        <v>253884.36200000002</v>
      </c>
      <c r="L613" s="43">
        <f t="shared" si="172"/>
        <v>3.1558878174833835E-3</v>
      </c>
      <c r="M613" s="42">
        <f t="shared" si="172"/>
        <v>403.11320000000001</v>
      </c>
      <c r="N613" s="14"/>
      <c r="O613" s="43" t="s">
        <v>32</v>
      </c>
      <c r="P613" s="43">
        <f>(J613-G613)/G613</f>
        <v>-1.1320621599363598E-2</v>
      </c>
      <c r="Q613" s="43">
        <f>(K613-G613)/G613</f>
        <v>-1.5158764507659286E-2</v>
      </c>
      <c r="R613" s="43">
        <f>(M613-H613)/H613</f>
        <v>-0.7408735238335572</v>
      </c>
      <c r="S613" s="2"/>
      <c r="T613" s="2"/>
      <c r="U613" s="2"/>
    </row>
    <row r="614" spans="1:21" x14ac:dyDescent="0.2">
      <c r="A614" s="14" t="s">
        <v>266</v>
      </c>
      <c r="B614" s="14">
        <v>0.3</v>
      </c>
      <c r="C614" s="61" t="s">
        <v>32</v>
      </c>
      <c r="D614" s="62" t="s">
        <v>32</v>
      </c>
      <c r="E614" s="61" t="s">
        <v>32</v>
      </c>
      <c r="F614" s="14"/>
      <c r="G614" s="42">
        <f>AVERAGE(G382)</f>
        <v>297924.12874999898</v>
      </c>
      <c r="H614" s="42">
        <f>AVERAGE(H382)</f>
        <v>2384.3124603329902</v>
      </c>
      <c r="I614" s="14"/>
      <c r="J614" s="42">
        <f t="shared" si="172"/>
        <v>282980.49199999997</v>
      </c>
      <c r="K614" s="42">
        <f t="shared" si="172"/>
        <v>280877.45399999997</v>
      </c>
      <c r="L614" s="43">
        <f t="shared" si="172"/>
        <v>5.8294012069208681E-3</v>
      </c>
      <c r="M614" s="42">
        <f>AVERAGE(F382,F415,F448,F481,F514)</f>
        <v>428.8048</v>
      </c>
      <c r="N614" s="14"/>
      <c r="O614" s="43" t="s">
        <v>32</v>
      </c>
      <c r="P614" s="43">
        <f>(AVERAGE(C382)-G614)/G614</f>
        <v>-2.9365982495968012E-2</v>
      </c>
      <c r="Q614" s="43">
        <f>(AVERAGE(D382)-G614)/G614</f>
        <v>-3.6820511302742366E-2</v>
      </c>
      <c r="R614" s="43">
        <f>(AVERAGE(F382)-H614)/H614</f>
        <v>-0.87886570875041115</v>
      </c>
      <c r="S614" s="2"/>
      <c r="T614" s="2"/>
      <c r="U614" s="2"/>
    </row>
    <row r="615" spans="1:21" x14ac:dyDescent="0.2">
      <c r="A615" s="14" t="s">
        <v>267</v>
      </c>
      <c r="B615" s="14">
        <v>0.3</v>
      </c>
      <c r="C615" s="61" t="s">
        <v>32</v>
      </c>
      <c r="D615" s="62" t="s">
        <v>32</v>
      </c>
      <c r="E615" s="61" t="s">
        <v>32</v>
      </c>
      <c r="F615" s="14"/>
      <c r="G615" s="42" t="s">
        <v>32</v>
      </c>
      <c r="H615" s="42" t="s">
        <v>32</v>
      </c>
      <c r="I615" s="14"/>
      <c r="J615" s="42">
        <f t="shared" si="172"/>
        <v>309034.80839999992</v>
      </c>
      <c r="K615" s="42">
        <f t="shared" si="172"/>
        <v>307005.326</v>
      </c>
      <c r="L615" s="43">
        <f t="shared" si="172"/>
        <v>4.924792622118747E-3</v>
      </c>
      <c r="M615" s="42">
        <f t="shared" si="172"/>
        <v>501.51279999999997</v>
      </c>
      <c r="N615" s="14"/>
      <c r="O615" s="61" t="s">
        <v>32</v>
      </c>
      <c r="P615" s="62" t="s">
        <v>32</v>
      </c>
      <c r="Q615" s="61" t="s">
        <v>32</v>
      </c>
      <c r="R615" s="43" t="s">
        <v>32</v>
      </c>
      <c r="S615" s="2"/>
      <c r="T615" s="2"/>
      <c r="U615" s="2"/>
    </row>
    <row r="616" spans="1:21" x14ac:dyDescent="0.2">
      <c r="A616" s="14" t="s">
        <v>268</v>
      </c>
      <c r="B616" s="14">
        <v>0.3</v>
      </c>
      <c r="C616" s="61" t="s">
        <v>32</v>
      </c>
      <c r="D616" s="62" t="s">
        <v>32</v>
      </c>
      <c r="E616" s="61" t="s">
        <v>32</v>
      </c>
      <c r="F616" s="14"/>
      <c r="G616" s="14" t="s">
        <v>32</v>
      </c>
      <c r="H616" s="14" t="s">
        <v>32</v>
      </c>
      <c r="I616" s="14"/>
      <c r="J616" s="42">
        <f t="shared" si="172"/>
        <v>338160.99759999994</v>
      </c>
      <c r="K616" s="42">
        <f t="shared" si="172"/>
        <v>336525.45799999998</v>
      </c>
      <c r="L616" s="43">
        <f t="shared" si="172"/>
        <v>4.7612073041979636E-3</v>
      </c>
      <c r="M616" s="42">
        <f t="shared" si="172"/>
        <v>443.88080000000002</v>
      </c>
      <c r="N616" s="14"/>
      <c r="O616" s="61" t="s">
        <v>32</v>
      </c>
      <c r="P616" s="62" t="s">
        <v>32</v>
      </c>
      <c r="Q616" s="61" t="s">
        <v>32</v>
      </c>
      <c r="R616" s="43" t="s">
        <v>32</v>
      </c>
      <c r="S616" s="2"/>
      <c r="T616" s="2"/>
      <c r="U616" s="2"/>
    </row>
    <row r="617" spans="1:21" x14ac:dyDescent="0.2">
      <c r="A617" s="14" t="s">
        <v>269</v>
      </c>
      <c r="B617" s="14">
        <v>0.3</v>
      </c>
      <c r="C617" s="61" t="s">
        <v>32</v>
      </c>
      <c r="D617" s="62" t="s">
        <v>32</v>
      </c>
      <c r="E617" s="61" t="s">
        <v>32</v>
      </c>
      <c r="F617" s="14"/>
      <c r="G617" s="14" t="s">
        <v>32</v>
      </c>
      <c r="H617" s="14" t="s">
        <v>32</v>
      </c>
      <c r="I617" s="14"/>
      <c r="J617" s="42">
        <f>C520</f>
        <v>351230.11799999996</v>
      </c>
      <c r="K617" s="42">
        <f>D520</f>
        <v>349313.13</v>
      </c>
      <c r="L617" s="43">
        <f>E520</f>
        <v>5.8053787827903637E-3</v>
      </c>
      <c r="M617" s="42">
        <f>F520</f>
        <v>573.36399999999992</v>
      </c>
      <c r="N617" s="14"/>
      <c r="O617" s="61" t="s">
        <v>32</v>
      </c>
      <c r="P617" s="62" t="s">
        <v>32</v>
      </c>
      <c r="Q617" s="61" t="s">
        <v>32</v>
      </c>
      <c r="R617" s="43" t="s">
        <v>32</v>
      </c>
      <c r="S617" s="2"/>
      <c r="T617" s="2"/>
      <c r="U617" s="2"/>
    </row>
    <row r="618" spans="1:21" x14ac:dyDescent="0.2">
      <c r="A618" s="14" t="s">
        <v>270</v>
      </c>
      <c r="B618" s="14">
        <v>0.3</v>
      </c>
      <c r="C618" s="42">
        <f>AVERAGE(C607:C610)</f>
        <v>138928.34917028924</v>
      </c>
      <c r="D618" s="43">
        <f>AVERAGE(D607:D610)</f>
        <v>0.25337257670049895</v>
      </c>
      <c r="E618" s="42">
        <f>AVERAGE(E607:E610)</f>
        <v>2798.5104583333336</v>
      </c>
      <c r="F618" s="14" t="s">
        <v>32</v>
      </c>
      <c r="G618" s="42">
        <f>AVERAGE(G607:G614)</f>
        <v>186677.59374166603</v>
      </c>
      <c r="H618" s="42">
        <f>AVERAGE(H607:H614)</f>
        <v>613.77227175755866</v>
      </c>
      <c r="I618" s="14"/>
      <c r="J618" s="42">
        <f>AVERAGE(J607:J617)</f>
        <v>227338.30709090905</v>
      </c>
      <c r="K618" s="42">
        <f>AVERAGE(K607:K617)</f>
        <v>226302.56981818183</v>
      </c>
      <c r="L618" s="43">
        <f>AVERAGE(L607:L617)</f>
        <v>3.8791533856671954E-3</v>
      </c>
      <c r="M618" s="42">
        <f>AVERAGE(M607:M617)</f>
        <v>303.74098181818181</v>
      </c>
      <c r="N618" s="14"/>
      <c r="O618" s="43">
        <f>AVERAGE(O607:O610)</f>
        <v>-4.5558141768620677E-2</v>
      </c>
      <c r="P618" s="43">
        <f>AVERAGE(P607:P614)</f>
        <v>-1.5564810809025198E-2</v>
      </c>
      <c r="Q618" s="43">
        <f>AVERAGE(Q607:Q614)</f>
        <v>-1.8815412407119463E-2</v>
      </c>
      <c r="R618" s="43">
        <f>AVERAGE(R607:R614)</f>
        <v>-4.7989505983022096E-2</v>
      </c>
      <c r="S618" s="2"/>
      <c r="T618" s="2"/>
      <c r="U618" s="2"/>
    </row>
    <row r="619" spans="1:21" x14ac:dyDescent="0.2">
      <c r="A619" s="14"/>
      <c r="B619" s="14"/>
      <c r="C619" s="14"/>
      <c r="D619" s="14"/>
      <c r="E619" s="14"/>
      <c r="F619" s="14"/>
      <c r="G619" s="14"/>
      <c r="H619" s="14"/>
      <c r="I619" s="14"/>
      <c r="J619" s="14"/>
      <c r="K619" s="14"/>
      <c r="L619" s="14"/>
      <c r="M619" s="14"/>
      <c r="N619" s="14"/>
      <c r="O619" s="14"/>
      <c r="P619" s="14"/>
      <c r="Q619" s="14"/>
      <c r="R619" s="14"/>
      <c r="S619" s="2"/>
      <c r="T619" s="2"/>
      <c r="U619" s="2"/>
    </row>
    <row r="620" spans="1:21" x14ac:dyDescent="0.2">
      <c r="A620" s="14"/>
      <c r="B620" s="14"/>
      <c r="C620" s="14"/>
      <c r="D620" s="14"/>
      <c r="E620" s="14"/>
      <c r="F620" s="14"/>
      <c r="G620" s="14"/>
      <c r="H620" s="14"/>
      <c r="I620" s="14"/>
      <c r="J620" s="14"/>
      <c r="K620" s="14"/>
      <c r="L620" s="14"/>
      <c r="M620" s="14"/>
      <c r="N620" s="14"/>
      <c r="O620" s="14"/>
      <c r="P620" s="14"/>
      <c r="Q620" s="14"/>
      <c r="R620" s="14"/>
      <c r="S620" s="2"/>
      <c r="T620" s="2"/>
      <c r="U620" s="2"/>
    </row>
    <row r="621" spans="1:21" x14ac:dyDescent="0.2">
      <c r="A621" s="14"/>
      <c r="B621" s="14"/>
      <c r="C621" s="14"/>
      <c r="D621" s="14"/>
      <c r="E621" s="14"/>
      <c r="F621" s="14"/>
      <c r="G621" s="14"/>
      <c r="H621" s="14"/>
      <c r="I621" s="14"/>
      <c r="J621" s="14"/>
      <c r="K621" s="14"/>
      <c r="L621" s="14"/>
      <c r="M621" s="14"/>
      <c r="N621" s="14"/>
      <c r="O621" s="14"/>
      <c r="P621" s="14"/>
      <c r="Q621" s="14"/>
      <c r="R621" s="14"/>
      <c r="S621" s="2"/>
      <c r="T621" s="2"/>
      <c r="U621" s="2"/>
    </row>
    <row r="622" spans="1:21" x14ac:dyDescent="0.2">
      <c r="A622" s="14"/>
      <c r="B622" s="14"/>
      <c r="C622" s="14"/>
      <c r="D622" s="14"/>
      <c r="E622" s="14"/>
      <c r="F622" s="14"/>
      <c r="G622" s="14"/>
      <c r="H622" s="14"/>
      <c r="I622" s="14"/>
      <c r="J622" s="14"/>
      <c r="K622" s="14"/>
      <c r="L622" s="14"/>
      <c r="M622" s="14"/>
      <c r="N622" s="14"/>
      <c r="O622" s="14"/>
      <c r="P622" s="14"/>
      <c r="Q622" s="14"/>
      <c r="R622" s="14"/>
      <c r="S622" s="2"/>
      <c r="T622" s="2"/>
      <c r="U622" s="2"/>
    </row>
    <row r="623" spans="1:21" ht="19" x14ac:dyDescent="0.25">
      <c r="A623" s="35" t="s">
        <v>30</v>
      </c>
      <c r="B623" s="14"/>
      <c r="C623" s="14"/>
      <c r="D623" s="14"/>
      <c r="E623" s="14"/>
      <c r="F623" s="14"/>
      <c r="G623" s="14"/>
      <c r="H623" s="14"/>
      <c r="I623" s="14"/>
      <c r="J623" s="14"/>
      <c r="K623" s="14"/>
      <c r="L623" s="14"/>
      <c r="M623" s="14"/>
      <c r="N623" s="14"/>
      <c r="O623" s="14"/>
      <c r="P623" s="14"/>
      <c r="Q623" s="14"/>
      <c r="R623" s="14"/>
      <c r="S623" s="2"/>
      <c r="T623" s="2"/>
      <c r="U623" s="2"/>
    </row>
    <row r="624" spans="1:21" x14ac:dyDescent="0.2">
      <c r="A624" s="14"/>
      <c r="B624" s="14"/>
      <c r="C624" s="14"/>
      <c r="D624" s="14"/>
      <c r="E624" s="14"/>
      <c r="F624" s="14"/>
      <c r="G624" s="14"/>
      <c r="H624" s="14"/>
      <c r="I624" s="14"/>
      <c r="J624" s="14"/>
      <c r="K624" s="14"/>
      <c r="L624" s="14"/>
      <c r="M624" s="14"/>
      <c r="N624" s="14"/>
      <c r="O624" s="14"/>
      <c r="P624" s="14"/>
      <c r="Q624" s="14"/>
      <c r="R624" s="14"/>
      <c r="S624" s="2"/>
      <c r="T624" s="2"/>
      <c r="U624" s="2"/>
    </row>
    <row r="625" spans="1:21" ht="19" x14ac:dyDescent="0.25">
      <c r="A625" s="39"/>
      <c r="B625" s="39"/>
      <c r="C625" s="40" t="s">
        <v>21</v>
      </c>
      <c r="D625" s="40"/>
      <c r="E625" s="40"/>
      <c r="F625" s="40"/>
      <c r="G625" s="23" t="s">
        <v>37</v>
      </c>
      <c r="H625" s="23"/>
      <c r="I625" s="24"/>
      <c r="J625" s="23" t="s">
        <v>0</v>
      </c>
      <c r="K625" s="23"/>
      <c r="L625" s="23"/>
      <c r="M625" s="23"/>
      <c r="N625" s="23"/>
      <c r="O625" s="24"/>
      <c r="P625" s="24"/>
      <c r="Q625" s="60"/>
      <c r="R625" s="24"/>
      <c r="S625" s="2"/>
      <c r="T625" s="2"/>
      <c r="U625" s="2"/>
    </row>
    <row r="626" spans="1:21" ht="18" x14ac:dyDescent="0.25">
      <c r="A626" s="39" t="s">
        <v>254</v>
      </c>
      <c r="B626" s="39" t="s">
        <v>23</v>
      </c>
      <c r="C626" s="39" t="s">
        <v>6</v>
      </c>
      <c r="D626" s="39" t="s">
        <v>255</v>
      </c>
      <c r="E626" s="39" t="s">
        <v>45</v>
      </c>
      <c r="F626" s="39"/>
      <c r="G626" s="39" t="s">
        <v>34</v>
      </c>
      <c r="H626" s="39" t="s">
        <v>45</v>
      </c>
      <c r="I626" s="39"/>
      <c r="J626" s="39" t="s">
        <v>6</v>
      </c>
      <c r="K626" s="39" t="s">
        <v>43</v>
      </c>
      <c r="L626" s="39" t="s">
        <v>44</v>
      </c>
      <c r="M626" s="39" t="s">
        <v>45</v>
      </c>
      <c r="N626" s="39"/>
      <c r="O626" s="18" t="s">
        <v>256</v>
      </c>
      <c r="P626" s="18" t="s">
        <v>257</v>
      </c>
      <c r="Q626" s="18" t="s">
        <v>258</v>
      </c>
      <c r="R626" s="18" t="s">
        <v>272</v>
      </c>
      <c r="S626" s="25"/>
      <c r="T626" s="2"/>
      <c r="U626" s="2"/>
    </row>
    <row r="627" spans="1:21" x14ac:dyDescent="0.2">
      <c r="A627" s="14" t="s">
        <v>259</v>
      </c>
      <c r="B627" s="14">
        <v>1</v>
      </c>
      <c r="C627" s="42">
        <f>AVERAGE(K180,K213,K246,K279,K312)</f>
        <v>78319.838277999937</v>
      </c>
      <c r="D627" s="43">
        <f>AVERAGE(M180,M213,M246,M279,M312)</f>
        <v>0</v>
      </c>
      <c r="E627" s="42">
        <f>AVERAGE(L180,L213,L246,L279,L312)</f>
        <v>124.944</v>
      </c>
      <c r="F627" s="14"/>
      <c r="G627" s="42">
        <f>AVERAGE(G180,G213,G246,G279,G312)</f>
        <v>78833.740876999989</v>
      </c>
      <c r="H627" s="42">
        <f>AVERAGE(H180,H213,H246,H279,H312)</f>
        <v>25.974794208802582</v>
      </c>
      <c r="I627" s="14"/>
      <c r="J627" s="42">
        <f>AVERAGE(C180,C213,C246,C279,C312)</f>
        <v>78833.740000000005</v>
      </c>
      <c r="K627" s="42">
        <f>AVERAGE(D180,D213,D246,D279,D312)</f>
        <v>78833.740000000005</v>
      </c>
      <c r="L627" s="43">
        <f>AVERAGE(E180,E213,E246,E279,E312)</f>
        <v>5.6740726646385364E-17</v>
      </c>
      <c r="M627" s="42">
        <f>AVERAGE(F180,F213,F246,F279,F312)</f>
        <v>25.2256</v>
      </c>
      <c r="N627" s="14"/>
      <c r="O627" s="43">
        <f>(J627-C627)/C627</f>
        <v>6.5615779258372513E-3</v>
      </c>
      <c r="P627" s="43">
        <f>(J627-G627)/G627</f>
        <v>-1.1124678015699091E-8</v>
      </c>
      <c r="Q627" s="43">
        <f>(K627-G627)/K627</f>
        <v>-1.1124678139457553E-8</v>
      </c>
      <c r="R627" s="43">
        <f>(M627-H627)/H627</f>
        <v>-2.88431239447005E-2</v>
      </c>
      <c r="S627" s="2"/>
      <c r="T627" s="2"/>
      <c r="U627" s="2"/>
    </row>
    <row r="628" spans="1:21" x14ac:dyDescent="0.2">
      <c r="A628" s="14" t="s">
        <v>260</v>
      </c>
      <c r="B628" s="14">
        <v>1</v>
      </c>
      <c r="C628" s="42">
        <f>AVERAGE(K181,K214,K247,K280,K313)</f>
        <v>121373.18873938019</v>
      </c>
      <c r="D628" s="43">
        <f>AVERAGE(M181,M214,M247,M280,M313)</f>
        <v>0</v>
      </c>
      <c r="E628" s="42">
        <f>AVERAGE(L181,L214,L247,L280,L313)</f>
        <v>853.0419999999998</v>
      </c>
      <c r="F628" s="14"/>
      <c r="G628" s="42">
        <f>AVERAGE(G181,G214,G247,G280,G313)</f>
        <v>122670.54255399961</v>
      </c>
      <c r="H628" s="42">
        <f>AVERAGE(H181,H214,H247,H280,H313)</f>
        <v>35.774795783399099</v>
      </c>
      <c r="I628" s="14"/>
      <c r="J628" s="42">
        <f>AVERAGE(C181,C214,C247,C280,C313)</f>
        <v>122133.64199999999</v>
      </c>
      <c r="K628" s="42">
        <f>AVERAGE(D181,D214,D247,D280,D313)</f>
        <v>122133.64199999999</v>
      </c>
      <c r="L628" s="43">
        <f>AVERAGE(E181,E214,E247,E280,E313)</f>
        <v>5.8700505411690438E-17</v>
      </c>
      <c r="M628" s="42">
        <f>AVERAGE(F181,F214,F247,F280,F313)</f>
        <v>37.160400000000003</v>
      </c>
      <c r="N628" s="14"/>
      <c r="O628" s="43">
        <f t="shared" ref="O628:O629" si="174">(J628-C628)/C628</f>
        <v>6.2654138736743213E-3</v>
      </c>
      <c r="P628" s="43">
        <f>(J628-G628)/G628</f>
        <v>-4.3767683978675684E-3</v>
      </c>
      <c r="Q628" s="43">
        <f>(K628-G628)/K628</f>
        <v>-4.3960087098656592E-3</v>
      </c>
      <c r="R628" s="43">
        <f>(M628-H628)/H628</f>
        <v>3.8731296329128945E-2</v>
      </c>
      <c r="S628" s="2"/>
      <c r="T628" s="2"/>
      <c r="U628" s="2"/>
    </row>
    <row r="629" spans="1:21" x14ac:dyDescent="0.2">
      <c r="A629" s="14" t="s">
        <v>261</v>
      </c>
      <c r="B629" s="14">
        <v>1</v>
      </c>
      <c r="C629" s="42">
        <f>AVERAGE(K182,K215,K248,K281,K314)</f>
        <v>161135.6382599356</v>
      </c>
      <c r="D629" s="43">
        <f>AVERAGE(M182,M215,M248,M281,M314)</f>
        <v>0.14733016103939561</v>
      </c>
      <c r="E629" s="42">
        <f>AVERAGE(L182,L215,L248,L281,L314)</f>
        <v>2696.1500000000005</v>
      </c>
      <c r="F629" s="14"/>
      <c r="G629" s="42">
        <f>AVERAGE(G182,G215,G248,G281,G314)</f>
        <v>159846.71536500001</v>
      </c>
      <c r="H629" s="42">
        <f>AVERAGE(H182,H215,H248,H281,H314)</f>
        <v>44.480850558398338</v>
      </c>
      <c r="I629" s="14"/>
      <c r="J629" s="42">
        <f>AVERAGE(C182,C215,C248,C281,C314)</f>
        <v>157232.7452</v>
      </c>
      <c r="K629" s="42">
        <f>AVERAGE(D182,D215,D248,D281,D314)</f>
        <v>157192.022</v>
      </c>
      <c r="L629" s="43">
        <f>AVERAGE(E182,E215,E248,E281,E314)</f>
        <v>2.6425599837598217E-4</v>
      </c>
      <c r="M629" s="42">
        <f>AVERAGE(F182,F215,F248,F281,F314)</f>
        <v>49.063599999999994</v>
      </c>
      <c r="N629" s="14"/>
      <c r="O629" s="43">
        <f t="shared" si="174"/>
        <v>-2.4221166106281541E-2</v>
      </c>
      <c r="P629" s="43">
        <f>(J629-G629)/G629</f>
        <v>-1.635298015996868E-2</v>
      </c>
      <c r="Q629" s="43">
        <f>(K629-G629)/K629</f>
        <v>-1.6888219460654396E-2</v>
      </c>
      <c r="R629" s="43">
        <f>(M629-H629)/H629</f>
        <v>0.10302746876625085</v>
      </c>
      <c r="S629" s="2"/>
      <c r="T629" s="2"/>
      <c r="U629" s="2"/>
    </row>
    <row r="630" spans="1:21" x14ac:dyDescent="0.2">
      <c r="A630" s="14" t="s">
        <v>262</v>
      </c>
      <c r="B630" s="14">
        <v>1</v>
      </c>
      <c r="C630" s="42">
        <f>AVERAGE(K183,K216,K282)</f>
        <v>195626.96362232932</v>
      </c>
      <c r="D630" s="43">
        <f>AVERAGE(M183,M216,M282)</f>
        <v>0.42141442209914465</v>
      </c>
      <c r="E630" s="42">
        <f>AVERAGE(L183,L216,L282)</f>
        <v>3745.2366666666662</v>
      </c>
      <c r="F630" s="14"/>
      <c r="G630" s="42">
        <f>AVERAGE(G183,G216,G249,G282,G315)</f>
        <v>189160.2169649998</v>
      </c>
      <c r="H630" s="42">
        <f>AVERAGE(H183,H216,H249,H282,H315)</f>
        <v>61.159741099800115</v>
      </c>
      <c r="I630" s="14"/>
      <c r="J630" s="42">
        <f>AVERAGE(C183,C216,C249,C282,C315)</f>
        <v>186662.84960000002</v>
      </c>
      <c r="K630" s="42">
        <f>AVERAGE(D183,D216,D249,D282,D315)</f>
        <v>186643.74800000002</v>
      </c>
      <c r="L630" s="43">
        <f>AVERAGE(E183,E216,E249,E282,E315)</f>
        <v>1.5594268854473575E-4</v>
      </c>
      <c r="M630" s="42">
        <f>AVERAGE(F183,F216,F249,F282,F315)</f>
        <v>67.17440000000002</v>
      </c>
      <c r="N630" s="14"/>
      <c r="O630" s="43">
        <f>(AVERAGE(C183,C216,C282)-C630)/C630</f>
        <v>-8.5447203423008433E-2</v>
      </c>
      <c r="P630" s="43">
        <f>(J630-G630)/G630</f>
        <v>-1.3202392157658956E-2</v>
      </c>
      <c r="Q630" s="43">
        <f>(K630-G630)/K630</f>
        <v>-1.3482739132519853E-2</v>
      </c>
      <c r="R630" s="43">
        <f>(AVERAGE(F184,F250,F283,F316)-H630)/H630</f>
        <v>0.24930221459439317</v>
      </c>
      <c r="S630" s="2"/>
      <c r="T630" s="2"/>
      <c r="U630" s="2"/>
    </row>
    <row r="631" spans="1:21" x14ac:dyDescent="0.2">
      <c r="A631" s="14" t="s">
        <v>263</v>
      </c>
      <c r="B631" s="14">
        <v>1</v>
      </c>
      <c r="C631" s="42">
        <f>AVERAGE(K217,K250,K283,K316)</f>
        <v>342385.14612993924</v>
      </c>
      <c r="D631" s="43">
        <f>AVERAGE(M217,M250,M283,M316)</f>
        <v>0.58375559387249798</v>
      </c>
      <c r="E631" s="42">
        <f>AVERAGE(L217,L250,L283,L316)</f>
        <v>3833.1275000000001</v>
      </c>
      <c r="F631" s="14"/>
      <c r="G631" s="42">
        <f>AVERAGE(G184,G250,G283,G316)</f>
        <v>224256.05726125001</v>
      </c>
      <c r="H631" s="42">
        <f>AVERAGE(H184,H250,H283,H316)</f>
        <v>157.96599441674948</v>
      </c>
      <c r="I631" s="14"/>
      <c r="J631" s="42">
        <f>AVERAGE(C184,C217,C250,C283,C316)</f>
        <v>221707.62200000003</v>
      </c>
      <c r="K631" s="42">
        <f>AVERAGE(D184,D217,D250,D283,D316)</f>
        <v>221707.62200000003</v>
      </c>
      <c r="L631" s="43">
        <f>AVERAGE(E184,E217,E250,E283,E316)</f>
        <v>5.6552973355890807E-17</v>
      </c>
      <c r="M631" s="42">
        <f>AVERAGE(F184,F217,F250,F283,F316)</f>
        <v>80.163200000000003</v>
      </c>
      <c r="N631" s="14"/>
      <c r="O631" s="43">
        <f>(AVERAGE(C217,C250,C283,C316)-C631)/C631</f>
        <v>-0.34943012272072854</v>
      </c>
      <c r="P631" s="43">
        <f>(AVERAGE(C184,C250,C283,C316)-G631)/G631</f>
        <v>-1.651450269160672E-2</v>
      </c>
      <c r="Q631" s="43">
        <f>(AVERAGE(D184,D250,D283,D316)-G631)/K631</f>
        <v>-1.6704329909099938E-2</v>
      </c>
      <c r="R631" s="43">
        <f>(M631-H631)/H631</f>
        <v>-0.49252875407784524</v>
      </c>
      <c r="S631" s="2"/>
      <c r="T631" s="2"/>
      <c r="U631" s="2"/>
    </row>
    <row r="632" spans="1:21" x14ac:dyDescent="0.2">
      <c r="A632" s="14" t="s">
        <v>264</v>
      </c>
      <c r="B632" s="14">
        <v>1</v>
      </c>
      <c r="C632" s="42">
        <f>AVERAGE(K284)</f>
        <v>265981.83610999997</v>
      </c>
      <c r="D632" s="43">
        <f>AVERAGE(M284)</f>
        <v>0.46455316948346498</v>
      </c>
      <c r="E632" s="42">
        <f>AVERAGE(L284)</f>
        <v>3931.71</v>
      </c>
      <c r="F632" s="14"/>
      <c r="G632" s="42">
        <f>AVERAGE(G185,G218,G251,G284,G317)</f>
        <v>247643.47947499962</v>
      </c>
      <c r="H632" s="42">
        <f>AVERAGE(H185,H218,H251,H284,H317)</f>
        <v>519.6299929749996</v>
      </c>
      <c r="I632" s="14"/>
      <c r="J632" s="42">
        <f>AVERAGE(C185,C218,C251,C284,C317)</f>
        <v>242535.8124</v>
      </c>
      <c r="K632" s="42">
        <f>AVERAGE(D185,D218,D251,D284,D317)</f>
        <v>242395.446</v>
      </c>
      <c r="L632" s="43">
        <f>AVERAGE(E185,E218,E251,E284,E317)</f>
        <v>8.4645506098625107E-4</v>
      </c>
      <c r="M632" s="42">
        <f>AVERAGE(F185,F218,F251,F284,F317)</f>
        <v>104.41720000000001</v>
      </c>
      <c r="N632" s="14"/>
      <c r="O632" s="43">
        <f>(AVERAGE(C284)-C632)/C632</f>
        <v>-0.1039409551957769</v>
      </c>
      <c r="P632" s="43">
        <f>(J632-G632)/G632</f>
        <v>-2.0625082016404398E-2</v>
      </c>
      <c r="Q632" s="43">
        <f>(K632-G632)/G632</f>
        <v>-2.1191890398751367E-2</v>
      </c>
      <c r="R632" s="43">
        <f>(M632-H632)/H632</f>
        <v>-0.79905470928999345</v>
      </c>
      <c r="S632" s="2"/>
      <c r="T632" s="2"/>
      <c r="U632" s="2"/>
    </row>
    <row r="633" spans="1:21" x14ac:dyDescent="0.2">
      <c r="A633" s="14" t="s">
        <v>265</v>
      </c>
      <c r="B633" s="14">
        <v>1</v>
      </c>
      <c r="C633" s="42" t="s">
        <v>32</v>
      </c>
      <c r="D633" s="43" t="s">
        <v>32</v>
      </c>
      <c r="E633" s="42" t="s">
        <v>32</v>
      </c>
      <c r="F633" s="14"/>
      <c r="G633" s="42">
        <f>AVERAGE(G252,G318)</f>
        <v>281470.00835749949</v>
      </c>
      <c r="H633" s="42">
        <f>AVERAGE(H252,H318)</f>
        <v>951.40292591649893</v>
      </c>
      <c r="I633" s="14"/>
      <c r="J633" s="42">
        <f>AVERAGE(C186,C219,C252,C285,C318)</f>
        <v>282544.33039999998</v>
      </c>
      <c r="K633" s="42">
        <f>AVERAGE(D186,D219,D252,D285,D318)</f>
        <v>282455.81999999995</v>
      </c>
      <c r="L633" s="43">
        <f>AVERAGE(E186,E219,E252,E285,E318)</f>
        <v>4.8909341311717547E-4</v>
      </c>
      <c r="M633" s="42">
        <f>AVERAGE(F186,F219,F252,F285,F318)</f>
        <v>134.17959999999999</v>
      </c>
      <c r="N633" s="14"/>
      <c r="O633" s="43"/>
      <c r="P633" s="43">
        <f>(AVERAGE(C252,C318)-G633)/G633</f>
        <v>-2.3184133881898997E-2</v>
      </c>
      <c r="Q633" s="43">
        <f>(AVERAGE(D252,D318)-G633)/K633</f>
        <v>-2.3103217903244121E-2</v>
      </c>
      <c r="R633" s="43">
        <f>(AVERAGE(F252,F318)-H633)/H633</f>
        <v>-0.8768198028326375</v>
      </c>
      <c r="S633" s="2"/>
      <c r="T633" s="2"/>
      <c r="U633" s="2"/>
    </row>
    <row r="634" spans="1:21" x14ac:dyDescent="0.2">
      <c r="A634" s="14" t="s">
        <v>266</v>
      </c>
      <c r="B634" s="14">
        <v>1</v>
      </c>
      <c r="C634" s="61" t="s">
        <v>32</v>
      </c>
      <c r="D634" s="62" t="s">
        <v>32</v>
      </c>
      <c r="E634" s="61" t="s">
        <v>32</v>
      </c>
      <c r="F634" s="14"/>
      <c r="G634" s="42" t="s">
        <v>15</v>
      </c>
      <c r="H634" s="42" t="s">
        <v>32</v>
      </c>
      <c r="I634" s="14"/>
      <c r="J634" s="42">
        <f>AVERAGE(C187,C220,C253,C286,C319)</f>
        <v>312584.38560000004</v>
      </c>
      <c r="K634" s="42">
        <f>AVERAGE(D187,D220,D253,D286,D319)</f>
        <v>311200.598</v>
      </c>
      <c r="L634" s="43">
        <f>AVERAGE(E187,E220,E253,E286,E319)</f>
        <v>7.5759209827866393E-3</v>
      </c>
      <c r="M634" s="42">
        <f>AVERAGE(F187,F220,F253,F286,F319)</f>
        <v>152.45440000000002</v>
      </c>
      <c r="N634" s="14"/>
      <c r="O634" s="61" t="s">
        <v>32</v>
      </c>
      <c r="P634" s="62" t="s">
        <v>32</v>
      </c>
      <c r="Q634" s="61" t="s">
        <v>32</v>
      </c>
      <c r="R634" s="43" t="s">
        <v>32</v>
      </c>
      <c r="S634" s="2"/>
      <c r="T634" s="2"/>
      <c r="U634" s="2"/>
    </row>
    <row r="635" spans="1:21" x14ac:dyDescent="0.2">
      <c r="A635" s="14" t="s">
        <v>267</v>
      </c>
      <c r="B635" s="14">
        <v>1</v>
      </c>
      <c r="C635" s="61" t="s">
        <v>32</v>
      </c>
      <c r="D635" s="62" t="s">
        <v>32</v>
      </c>
      <c r="E635" s="61" t="s">
        <v>32</v>
      </c>
      <c r="F635" s="14"/>
      <c r="G635" s="42" t="s">
        <v>32</v>
      </c>
      <c r="H635" s="42" t="s">
        <v>32</v>
      </c>
      <c r="I635" s="14"/>
      <c r="J635" s="42">
        <f>AVERAGE(C188,C221,C254,C287,C320)</f>
        <v>346610.67359999998</v>
      </c>
      <c r="K635" s="42">
        <f>AVERAGE(D188,D221,D254,D287,D320)</f>
        <v>346530.842</v>
      </c>
      <c r="L635" s="43">
        <f>AVERAGE(E188,E221,E254,E287,E320)</f>
        <v>2.8771245664467322E-4</v>
      </c>
      <c r="M635" s="42">
        <f>AVERAGE(F188,F221,F254,F287,F320)</f>
        <v>206.35</v>
      </c>
      <c r="N635" s="14"/>
      <c r="O635" s="61" t="s">
        <v>32</v>
      </c>
      <c r="P635" s="62" t="s">
        <v>32</v>
      </c>
      <c r="Q635" s="61" t="s">
        <v>32</v>
      </c>
      <c r="R635" s="43" t="s">
        <v>32</v>
      </c>
      <c r="S635" s="2"/>
      <c r="T635" s="2"/>
      <c r="U635" s="2"/>
    </row>
    <row r="636" spans="1:21" x14ac:dyDescent="0.2">
      <c r="A636" s="14" t="s">
        <v>268</v>
      </c>
      <c r="B636" s="14">
        <v>1</v>
      </c>
      <c r="C636" s="61" t="s">
        <v>32</v>
      </c>
      <c r="D636" s="62" t="s">
        <v>32</v>
      </c>
      <c r="E636" s="61" t="s">
        <v>32</v>
      </c>
      <c r="F636" s="14"/>
      <c r="G636" s="42" t="s">
        <v>32</v>
      </c>
      <c r="H636" s="42" t="s">
        <v>32</v>
      </c>
      <c r="I636" s="14"/>
      <c r="J636" s="42">
        <f>AVERAGE(C189,C222,C255,C288,C321)</f>
        <v>381526.8284</v>
      </c>
      <c r="K636" s="42">
        <f>AVERAGE(D189,D222,D255,D288,D321)</f>
        <v>376784.9</v>
      </c>
      <c r="L636" s="43">
        <f>AVERAGE(E189,E222,E255,E288,E321)</f>
        <v>7.3854990817503689E-3</v>
      </c>
      <c r="M636" s="42">
        <f>AVERAGE(F189,F222,F255,F288,F321)</f>
        <v>224.29400000000001</v>
      </c>
      <c r="N636" s="14"/>
      <c r="O636" s="61" t="s">
        <v>32</v>
      </c>
      <c r="P636" s="62" t="s">
        <v>32</v>
      </c>
      <c r="Q636" s="61" t="s">
        <v>32</v>
      </c>
      <c r="R636" s="43" t="s">
        <v>32</v>
      </c>
      <c r="S636" s="2"/>
      <c r="T636" s="2"/>
      <c r="U636" s="2"/>
    </row>
    <row r="637" spans="1:21" x14ac:dyDescent="0.2">
      <c r="A637" s="14" t="s">
        <v>269</v>
      </c>
      <c r="B637" s="14">
        <v>1</v>
      </c>
      <c r="C637" s="61" t="s">
        <v>32</v>
      </c>
      <c r="D637" s="62" t="s">
        <v>32</v>
      </c>
      <c r="E637" s="61" t="s">
        <v>32</v>
      </c>
      <c r="F637" s="14"/>
      <c r="G637" s="42" t="s">
        <v>32</v>
      </c>
      <c r="H637" s="42" t="s">
        <v>32</v>
      </c>
      <c r="I637" s="14"/>
      <c r="J637" s="42">
        <f>C345</f>
        <v>396682.83399999997</v>
      </c>
      <c r="K637" s="42">
        <f>D345</f>
        <v>393596.26</v>
      </c>
      <c r="L637" s="43">
        <f>E345</f>
        <v>7.8520323396107979E-3</v>
      </c>
      <c r="M637" s="42">
        <f>F345</f>
        <v>263.07799999999997</v>
      </c>
      <c r="N637" s="14"/>
      <c r="O637" s="61" t="s">
        <v>32</v>
      </c>
      <c r="P637" s="62" t="s">
        <v>32</v>
      </c>
      <c r="Q637" s="61" t="s">
        <v>32</v>
      </c>
      <c r="R637" s="43" t="s">
        <v>32</v>
      </c>
      <c r="S637" s="2"/>
      <c r="T637" s="2"/>
      <c r="U637" s="2"/>
    </row>
    <row r="638" spans="1:21" x14ac:dyDescent="0.2">
      <c r="A638" s="14" t="s">
        <v>270</v>
      </c>
      <c r="B638" s="14">
        <v>1</v>
      </c>
      <c r="C638" s="42">
        <f>AVERAGE(C627:C632)</f>
        <v>194137.10185659738</v>
      </c>
      <c r="D638" s="43">
        <f>AVERAGE(D627:D632)</f>
        <v>0.26950889108241721</v>
      </c>
      <c r="E638" s="42">
        <f>AVERAGE(E627:E632)</f>
        <v>2530.7016944444445</v>
      </c>
      <c r="F638" s="14"/>
      <c r="G638" s="42">
        <f>AVERAGE(G627:G633)</f>
        <v>186268.68012210695</v>
      </c>
      <c r="H638" s="42">
        <f>AVERAGE(H627:H633)</f>
        <v>256.62701356552117</v>
      </c>
      <c r="I638" s="14"/>
      <c r="J638" s="42">
        <f>AVERAGE(J627:J637)</f>
        <v>248095.95119999998</v>
      </c>
      <c r="K638" s="42">
        <f>AVERAGE(K627:K637)</f>
        <v>247224.96727272726</v>
      </c>
      <c r="L638" s="43">
        <f>AVERAGE(L627:L637)</f>
        <v>2.2597192747106174E-3</v>
      </c>
      <c r="M638" s="42">
        <f>AVERAGE(M627:M637)</f>
        <v>122.14185454545455</v>
      </c>
      <c r="N638" s="14"/>
      <c r="O638" s="43">
        <f>AVERAGE(O627:O632)</f>
        <v>-9.1702075941047304E-2</v>
      </c>
      <c r="P638" s="43">
        <f>AVERAGE(P627:P633)</f>
        <v>-1.346512434715476E-2</v>
      </c>
      <c r="Q638" s="43">
        <f>AVERAGE(Q627:Q633)</f>
        <v>-1.3680916662687639E-2</v>
      </c>
      <c r="R638" s="43">
        <f>AVERAGE(R627:R633)</f>
        <v>-0.25802648720791482</v>
      </c>
      <c r="S638" s="2"/>
      <c r="T638" s="2"/>
      <c r="U638" s="2"/>
    </row>
    <row r="639" spans="1:21" x14ac:dyDescent="0.2">
      <c r="A639" s="14"/>
      <c r="B639" s="14"/>
      <c r="C639" s="42"/>
      <c r="D639" s="43"/>
      <c r="E639" s="42"/>
      <c r="F639" s="14"/>
      <c r="G639" s="42"/>
      <c r="H639" s="42"/>
      <c r="I639" s="14"/>
      <c r="J639" s="42"/>
      <c r="K639" s="42"/>
      <c r="L639" s="43"/>
      <c r="M639" s="42"/>
      <c r="N639" s="14"/>
      <c r="O639" s="43"/>
      <c r="P639" s="43"/>
      <c r="Q639" s="43"/>
      <c r="R639" s="43"/>
      <c r="S639" s="2"/>
      <c r="T639" s="2"/>
      <c r="U639" s="2"/>
    </row>
    <row r="640" spans="1:21" x14ac:dyDescent="0.2">
      <c r="A640" s="14" t="s">
        <v>259</v>
      </c>
      <c r="B640" s="14">
        <v>0.5</v>
      </c>
      <c r="C640" s="42">
        <f>AVERAGE(K191,K224,K257,K290,K323)</f>
        <v>107084.85829689905</v>
      </c>
      <c r="D640" s="43">
        <f>AVERAGE(M191,M224,M257,M290,M323)</f>
        <v>0</v>
      </c>
      <c r="E640" s="42">
        <f>AVERAGE(L191,L224,L257,L290,L323)</f>
        <v>524.13</v>
      </c>
      <c r="F640" s="14"/>
      <c r="G640" s="42">
        <f>AVERAGE(G191,G257)</f>
        <v>81813.507874999894</v>
      </c>
      <c r="H640" s="42">
        <f>AVERAGE(H191,H257)</f>
        <v>31.804397770997554</v>
      </c>
      <c r="I640" s="14"/>
      <c r="J640" s="42">
        <f>AVERAGE(C191,C224,C257,C290,C323)</f>
        <v>107402.372</v>
      </c>
      <c r="K640" s="42">
        <f>AVERAGE(D191,D224,D257,D290,D323)</f>
        <v>107248.09199999999</v>
      </c>
      <c r="L640" s="43">
        <f>AVERAGE(E191,E224,E257,E290,E323,)</f>
        <v>2.1109787016312435E-3</v>
      </c>
      <c r="M640" s="42">
        <f>AVERAGE(F191,F224,F257,F290,F323)</f>
        <v>33.454799999999999</v>
      </c>
      <c r="N640" s="14"/>
      <c r="O640" s="43">
        <f>(J640-C640)/C640</f>
        <v>2.9650662862215817E-3</v>
      </c>
      <c r="P640" s="43">
        <f>(AVERAGE(C191,C257)-G640)/G640</f>
        <v>4.7144063983834954E-3</v>
      </c>
      <c r="Q640" s="43">
        <f>(AVERAGE(D191,D257)-G640)/K640</f>
        <v>1.9813873247573338E-8</v>
      </c>
      <c r="R640" s="43">
        <f>(AVERAGE(F191,F257)-H640)/H640</f>
        <v>-0.10188521079158662</v>
      </c>
      <c r="S640" s="2"/>
      <c r="T640" s="2"/>
      <c r="U640" s="2"/>
    </row>
    <row r="641" spans="1:21" x14ac:dyDescent="0.2">
      <c r="A641" s="14" t="s">
        <v>260</v>
      </c>
      <c r="B641" s="14">
        <v>0.5</v>
      </c>
      <c r="C641" s="42">
        <f>AVERAGE(K192,K225,K258,K291,K324)</f>
        <v>174569.37696318878</v>
      </c>
      <c r="D641" s="43">
        <f>AVERAGE(M192,M225,M258,M291,M324)</f>
        <v>0.32101857640216541</v>
      </c>
      <c r="E641" s="42">
        <f>AVERAGE(L192,L225,L258,L291,L324)</f>
        <v>3428.3539999999994</v>
      </c>
      <c r="F641" s="14"/>
      <c r="G641" s="42">
        <f>AVERAGE(G192,G258,G291)</f>
        <v>146824.22874999966</v>
      </c>
      <c r="H641" s="42">
        <f>AVERAGE(H192,H258,H291)</f>
        <v>56.855275999998973</v>
      </c>
      <c r="I641" s="14"/>
      <c r="J641" s="42">
        <f>AVERAGE(C192,C225,C258,C291,C324)</f>
        <v>168596.38960000002</v>
      </c>
      <c r="K641" s="42">
        <f>AVERAGE(D192,D225,D258,D291,D324)</f>
        <v>168312.70600000001</v>
      </c>
      <c r="L641" s="43">
        <f>AVERAGE(E192,E225,E258,E291,E324,)</f>
        <v>2.1035506100746154E-3</v>
      </c>
      <c r="M641" s="42">
        <f>AVERAGE(F192,F225,F258,F291,F324)</f>
        <v>77.248400000000004</v>
      </c>
      <c r="N641" s="14"/>
      <c r="O641" s="43">
        <f t="shared" ref="O641" si="175">(J641-C641)/C641</f>
        <v>-3.4215550671572122E-2</v>
      </c>
      <c r="P641" s="43">
        <f>(AVERAGE(C192,C258,C291)-G641)/G641</f>
        <v>-1.2460768672688487E-2</v>
      </c>
      <c r="Q641" s="43">
        <f>(AVERAGE(D192,D258,D291)-G641)/K641</f>
        <v>-1.3678995512077711E-2</v>
      </c>
      <c r="R641" s="43">
        <f>(AVERAGE(F192,F258,F291)-H641)/H641</f>
        <v>-0.28108694784982241</v>
      </c>
      <c r="S641" s="2"/>
      <c r="T641" s="2"/>
      <c r="U641" s="2"/>
    </row>
    <row r="642" spans="1:21" x14ac:dyDescent="0.2">
      <c r="A642" s="14" t="s">
        <v>261</v>
      </c>
      <c r="B642" s="14">
        <v>0.5</v>
      </c>
      <c r="C642" s="42">
        <f>AVERAGE(K259,K292)</f>
        <v>232089.20946780749</v>
      </c>
      <c r="D642" s="43">
        <f>AVERAGE(M259,M292)</f>
        <v>0.28955188575911694</v>
      </c>
      <c r="E642" s="42">
        <f>AVERAGE(L259,L292)</f>
        <v>3693.0699999999997</v>
      </c>
      <c r="F642" s="14"/>
      <c r="G642" s="42">
        <f>AVERAGE(G193,G259,G292,G325)</f>
        <v>220133.06731249951</v>
      </c>
      <c r="H642" s="42">
        <f>AVERAGE(H193,H259,H292,H325)</f>
        <v>61.815681604247374</v>
      </c>
      <c r="I642" s="14"/>
      <c r="J642" s="42">
        <f>AVERAGE(C193,C226,C259,C292,C325)</f>
        <v>217617.42879999997</v>
      </c>
      <c r="K642" s="42">
        <f>AVERAGE(D193,D226,D259,D292,D325)</f>
        <v>216266.12399999998</v>
      </c>
      <c r="L642" s="43">
        <f>AVERAGE(E193,E226,E259,E292,E325,)</f>
        <v>1.0680137561031621E-2</v>
      </c>
      <c r="M642" s="42">
        <f>AVERAGE(F193,F226,F259,F292,F325)</f>
        <v>99.644800000000004</v>
      </c>
      <c r="N642" s="14"/>
      <c r="O642" s="43">
        <f>(AVERAGE(C259,C292)-C642)/C642</f>
        <v>-9.3374050079710669E-2</v>
      </c>
      <c r="P642" s="43">
        <f>(AVERAGE(C193,C259,C292,C325)-G642)/G642</f>
        <v>-1.4454490419572122E-2</v>
      </c>
      <c r="Q642" s="43">
        <f>(AVERAGE(D193,D259,D292,D325)-G642)/K642</f>
        <v>-1.7656474541058967E-2</v>
      </c>
      <c r="R642" s="43">
        <f>(AVERAGE(F193,F259,F292,F325)-H642)/H642</f>
        <v>0.12123652447500784</v>
      </c>
      <c r="S642" s="2"/>
      <c r="T642" s="2"/>
      <c r="U642" s="2"/>
    </row>
    <row r="643" spans="1:21" x14ac:dyDescent="0.2">
      <c r="A643" s="14" t="s">
        <v>262</v>
      </c>
      <c r="B643" s="14">
        <v>0.5</v>
      </c>
      <c r="C643" s="42" t="s">
        <v>15</v>
      </c>
      <c r="D643" s="43" t="s">
        <v>32</v>
      </c>
      <c r="E643" s="42" t="s">
        <v>32</v>
      </c>
      <c r="F643" s="14"/>
      <c r="G643" s="42">
        <f t="shared" ref="G643:H645" si="176">AVERAGE(G194,G227,G260,G293,G326)</f>
        <v>259207.16033499938</v>
      </c>
      <c r="H643" s="42">
        <f t="shared" si="176"/>
        <v>135.65354686680172</v>
      </c>
      <c r="I643" s="14"/>
      <c r="J643" s="42">
        <f>AVERAGE(C194,C227,C260,C293,C326)</f>
        <v>251449.96800000002</v>
      </c>
      <c r="K643" s="42">
        <f>AVERAGE(D194,D227,D260,D293,D326)</f>
        <v>251002.07200000001</v>
      </c>
      <c r="L643" s="43">
        <f>AVERAGE(E194,E227,E260,E293,E326,)</f>
        <v>1.9530761394274175E-3</v>
      </c>
      <c r="M643" s="42">
        <f>AVERAGE(F194,F227,F260,F293,F326)</f>
        <v>135.762</v>
      </c>
      <c r="N643" s="14"/>
      <c r="O643" s="43" t="s">
        <v>32</v>
      </c>
      <c r="P643" s="43">
        <f>(J643-G643)/G643</f>
        <v>-2.9926612848865605E-2</v>
      </c>
      <c r="Q643" s="43">
        <f>(K643-G643)/K643</f>
        <v>-3.2689325110429233E-2</v>
      </c>
      <c r="R643" s="43">
        <f>(M643-H643)/H643</f>
        <v>7.9948615943504836E-4</v>
      </c>
      <c r="S643" s="2"/>
      <c r="T643" s="2"/>
      <c r="U643" s="2"/>
    </row>
    <row r="644" spans="1:21" x14ac:dyDescent="0.2">
      <c r="A644" s="14" t="s">
        <v>263</v>
      </c>
      <c r="B644" s="14">
        <v>0.5</v>
      </c>
      <c r="C644" s="42" t="s">
        <v>15</v>
      </c>
      <c r="D644" s="43" t="s">
        <v>32</v>
      </c>
      <c r="E644" s="42" t="s">
        <v>32</v>
      </c>
      <c r="F644" s="14"/>
      <c r="G644" s="42">
        <f t="shared" si="176"/>
        <v>308591.18984999938</v>
      </c>
      <c r="H644" s="42">
        <f t="shared" si="176"/>
        <v>428.77885369219882</v>
      </c>
      <c r="I644" s="14"/>
      <c r="J644" s="42">
        <f>AVERAGE(C195,C228,C261,C294,C327)</f>
        <v>301351.58600000001</v>
      </c>
      <c r="K644" s="42">
        <f>AVERAGE(D195,D228,D261,D294,D327)</f>
        <v>300587.152</v>
      </c>
      <c r="L644" s="43">
        <f>AVERAGE(E195,E228,E261,E294,E327,)</f>
        <v>2.1679675508894853E-3</v>
      </c>
      <c r="M644" s="42">
        <f>AVERAGE(F195,F228,F261,F294,F327)</f>
        <v>215.10160000000002</v>
      </c>
      <c r="N644" s="14"/>
      <c r="O644" s="43" t="s">
        <v>32</v>
      </c>
      <c r="P644" s="43">
        <f>(J644-G644)/G644</f>
        <v>-2.3460176726102955E-2</v>
      </c>
      <c r="Q644" s="43">
        <f>(K644-G644)/K644</f>
        <v>-2.6628010534526712E-2</v>
      </c>
      <c r="R644" s="43">
        <f>(M644-H644)/H644</f>
        <v>-0.49833906651933019</v>
      </c>
      <c r="S644" s="2"/>
      <c r="T644" s="2"/>
      <c r="U644" s="2"/>
    </row>
    <row r="645" spans="1:21" x14ac:dyDescent="0.2">
      <c r="A645" s="14" t="s">
        <v>264</v>
      </c>
      <c r="B645" s="14">
        <v>0.5</v>
      </c>
      <c r="C645" s="61" t="s">
        <v>32</v>
      </c>
      <c r="D645" s="62" t="s">
        <v>32</v>
      </c>
      <c r="E645" s="61" t="s">
        <v>32</v>
      </c>
      <c r="F645" s="14"/>
      <c r="G645" s="42">
        <f t="shared" si="176"/>
        <v>335064.91464999918</v>
      </c>
      <c r="H645" s="42">
        <f t="shared" si="176"/>
        <v>1164.2861594083986</v>
      </c>
      <c r="I645" s="14"/>
      <c r="J645" s="42">
        <f>AVERAGE(C196,C229,C262,C295,C328)</f>
        <v>326854.97879999998</v>
      </c>
      <c r="K645" s="42">
        <f>AVERAGE(D196,D229,D262,D295,D328)</f>
        <v>326170.68400000001</v>
      </c>
      <c r="L645" s="43">
        <f>AVERAGE(E196,E229,E262,E295,E328,)</f>
        <v>1.4288317492247953E-3</v>
      </c>
      <c r="M645" s="42">
        <f>AVERAGE(F196,F229,F262,F295,F328)</f>
        <v>367.75079999999997</v>
      </c>
      <c r="N645" s="14"/>
      <c r="O645" s="43" t="s">
        <v>32</v>
      </c>
      <c r="P645" s="43">
        <f>(J645-G645)/G645</f>
        <v>-2.4502523215762823E-2</v>
      </c>
      <c r="Q645" s="43">
        <f>(K645-G645)/K645</f>
        <v>-2.7268639047889318E-2</v>
      </c>
      <c r="R645" s="43">
        <f>(M645-H645)/H645</f>
        <v>-0.68414053793539642</v>
      </c>
      <c r="S645" s="2"/>
      <c r="T645" s="2"/>
      <c r="U645" s="2"/>
    </row>
    <row r="646" spans="1:21" x14ac:dyDescent="0.2">
      <c r="A646" s="14" t="s">
        <v>265</v>
      </c>
      <c r="B646" s="14">
        <v>0.5</v>
      </c>
      <c r="C646" s="61" t="s">
        <v>32</v>
      </c>
      <c r="D646" s="62" t="s">
        <v>32</v>
      </c>
      <c r="E646" s="61" t="s">
        <v>32</v>
      </c>
      <c r="F646" s="14"/>
      <c r="G646" s="42">
        <f>AVERAGE(G197,G263,G296,G329)</f>
        <v>385880.48037499946</v>
      </c>
      <c r="H646" s="42">
        <f>AVERAGE(H197,H263,H296,H329)</f>
        <v>2259.0026767084901</v>
      </c>
      <c r="I646" s="14"/>
      <c r="J646" s="42">
        <f>AVERAGE(C197,C230,C263,C296,C329)</f>
        <v>379361.01520000002</v>
      </c>
      <c r="K646" s="42">
        <f>AVERAGE(D197,D230,D263,D296,D329)</f>
        <v>375022.90399999998</v>
      </c>
      <c r="L646" s="43">
        <f>AVERAGE(E197,E230,E263,E296,E329,)</f>
        <v>9.6033036233535863E-3</v>
      </c>
      <c r="M646" s="42">
        <f>AVERAGE(F197,F230,F263,F296,F329)</f>
        <v>401.58240000000006</v>
      </c>
      <c r="N646" s="14"/>
      <c r="O646" s="43" t="s">
        <v>32</v>
      </c>
      <c r="P646" s="43">
        <f>(AVERAGE(C197,C263,C296,C329)-G646)/G646</f>
        <v>-1.5243036831724009E-2</v>
      </c>
      <c r="Q646" s="43">
        <f>(AVERAGE(D197,D263,D296,D329)-G646)/K646</f>
        <v>-2.9060519394302025E-2</v>
      </c>
      <c r="R646" s="43">
        <f>(AVERAGE(F197,F263,F296,F329)-H646)/H646</f>
        <v>-0.83998425334905158</v>
      </c>
      <c r="S646" s="2"/>
      <c r="T646" s="2"/>
      <c r="U646" s="2"/>
    </row>
    <row r="647" spans="1:21" x14ac:dyDescent="0.2">
      <c r="A647" s="14" t="s">
        <v>266</v>
      </c>
      <c r="B647" s="14">
        <v>0.5</v>
      </c>
      <c r="C647" s="61" t="s">
        <v>32</v>
      </c>
      <c r="D647" s="62" t="s">
        <v>32</v>
      </c>
      <c r="E647" s="61" t="s">
        <v>32</v>
      </c>
      <c r="F647" s="14"/>
      <c r="G647" s="42" t="s">
        <v>15</v>
      </c>
      <c r="H647" s="42" t="s">
        <v>32</v>
      </c>
      <c r="I647" s="14"/>
      <c r="J647" s="42">
        <f>AVERAGE(C198,C231,C264,C297,C330)</f>
        <v>411748.28359999997</v>
      </c>
      <c r="K647" s="42">
        <f>AVERAGE(D198,D231,D264,D297,D330)</f>
        <v>410961.53</v>
      </c>
      <c r="L647" s="43">
        <f>AVERAGE(E198,E231,E264,E297,E330,)</f>
        <v>1.2818863083393012E-3</v>
      </c>
      <c r="M647" s="42">
        <f>AVERAGE(F198,F231,F264,F297,F330)</f>
        <v>417.52</v>
      </c>
      <c r="N647" s="14"/>
      <c r="O647" s="61" t="s">
        <v>32</v>
      </c>
      <c r="P647" s="62" t="s">
        <v>32</v>
      </c>
      <c r="Q647" s="61" t="s">
        <v>32</v>
      </c>
      <c r="R647" s="43" t="s">
        <v>32</v>
      </c>
      <c r="S647" s="2"/>
      <c r="T647" s="2"/>
      <c r="U647" s="2"/>
    </row>
    <row r="648" spans="1:21" x14ac:dyDescent="0.2">
      <c r="A648" s="14" t="s">
        <v>267</v>
      </c>
      <c r="B648" s="14">
        <v>0.5</v>
      </c>
      <c r="C648" s="61" t="s">
        <v>32</v>
      </c>
      <c r="D648" s="62" t="s">
        <v>32</v>
      </c>
      <c r="E648" s="61" t="s">
        <v>32</v>
      </c>
      <c r="F648" s="14"/>
      <c r="G648" s="42"/>
      <c r="H648" s="42"/>
      <c r="I648" s="14"/>
      <c r="J648" s="42">
        <f>AVERAGE(C199,C232,C265,C298,C331)</f>
        <v>458451.40319999994</v>
      </c>
      <c r="K648" s="42">
        <f>AVERAGE(D199,D232,D265,D298,D331)</f>
        <v>455178.84399999992</v>
      </c>
      <c r="L648" s="43">
        <f>AVERAGE(E199,E232,E265,E298,E331,)</f>
        <v>5.1016311417079142E-3</v>
      </c>
      <c r="M648" s="42">
        <f>AVERAGE(F199,F232,F265,F298,F331)</f>
        <v>483.66279999999995</v>
      </c>
      <c r="N648" s="14"/>
      <c r="O648" s="61" t="s">
        <v>32</v>
      </c>
      <c r="P648" s="62" t="s">
        <v>32</v>
      </c>
      <c r="Q648" s="61" t="s">
        <v>32</v>
      </c>
      <c r="R648" s="22" t="s">
        <v>32</v>
      </c>
      <c r="S648" s="2"/>
      <c r="T648" s="2"/>
      <c r="U648" s="2"/>
    </row>
    <row r="649" spans="1:21" x14ac:dyDescent="0.2">
      <c r="A649" s="14" t="s">
        <v>268</v>
      </c>
      <c r="B649" s="14">
        <v>0.5</v>
      </c>
      <c r="C649" s="61" t="s">
        <v>32</v>
      </c>
      <c r="D649" s="62" t="s">
        <v>32</v>
      </c>
      <c r="E649" s="61" t="s">
        <v>32</v>
      </c>
      <c r="F649" s="14"/>
      <c r="G649" s="42"/>
      <c r="H649" s="42"/>
      <c r="I649" s="14"/>
      <c r="J649" s="42">
        <f>AVERAGE(C200,C233,C266,C299,C332)</f>
        <v>502452.82119999995</v>
      </c>
      <c r="K649" s="42">
        <f>AVERAGE(D200,D233,D266,D299,D332)</f>
        <v>498423.50599999994</v>
      </c>
      <c r="L649" s="43">
        <f>AVERAGE(E200,E233,E266,E299,E332,)</f>
        <v>4.1931567848953535E-3</v>
      </c>
      <c r="M649" s="42">
        <f>AVERAGE(F200,F233,F266,F299,F332)</f>
        <v>556.16560000000004</v>
      </c>
      <c r="N649" s="14"/>
      <c r="O649" s="61" t="s">
        <v>32</v>
      </c>
      <c r="P649" s="62" t="s">
        <v>32</v>
      </c>
      <c r="Q649" s="61" t="s">
        <v>32</v>
      </c>
      <c r="R649" s="22" t="s">
        <v>32</v>
      </c>
      <c r="S649" s="2"/>
      <c r="T649" s="2"/>
      <c r="U649" s="2"/>
    </row>
    <row r="650" spans="1:21" x14ac:dyDescent="0.2">
      <c r="A650" s="14" t="s">
        <v>269</v>
      </c>
      <c r="B650" s="14">
        <v>0.5</v>
      </c>
      <c r="C650" s="61" t="s">
        <v>32</v>
      </c>
      <c r="D650" s="62" t="s">
        <v>32</v>
      </c>
      <c r="E650" s="61" t="s">
        <v>32</v>
      </c>
      <c r="F650" s="14"/>
      <c r="G650" s="42"/>
      <c r="H650" s="42"/>
      <c r="I650" s="14"/>
      <c r="J650" s="42">
        <f>C346</f>
        <v>529802.01799999992</v>
      </c>
      <c r="K650" s="42">
        <f>D346</f>
        <v>528282.39</v>
      </c>
      <c r="L650" s="43">
        <f>E346</f>
        <v>2.0624894972766233E-3</v>
      </c>
      <c r="M650" s="42">
        <f>F346</f>
        <v>674.71600000000001</v>
      </c>
      <c r="N650" s="14"/>
      <c r="O650" s="61" t="s">
        <v>32</v>
      </c>
      <c r="P650" s="62" t="s">
        <v>32</v>
      </c>
      <c r="Q650" s="61" t="s">
        <v>32</v>
      </c>
      <c r="R650" s="14" t="s">
        <v>32</v>
      </c>
      <c r="S650" s="2"/>
      <c r="T650" s="2"/>
      <c r="U650" s="2"/>
    </row>
    <row r="651" spans="1:21" x14ac:dyDescent="0.2">
      <c r="A651" s="14" t="s">
        <v>270</v>
      </c>
      <c r="B651" s="14">
        <v>0.5</v>
      </c>
      <c r="C651" s="42">
        <f>AVERAGE(C640:C642)</f>
        <v>171247.81490929844</v>
      </c>
      <c r="D651" s="43">
        <f>AVERAGE(D640:D642)</f>
        <v>0.20352348738709414</v>
      </c>
      <c r="E651" s="42">
        <f>AVERAGE(E640:E642)</f>
        <v>2548.5179999999996</v>
      </c>
      <c r="F651" s="14"/>
      <c r="G651" s="42">
        <f>AVERAGE(G640:G646)</f>
        <v>248216.36416392805</v>
      </c>
      <c r="H651" s="42">
        <f>AVERAGE(H640:H646)</f>
        <v>591.17094172159045</v>
      </c>
      <c r="I651" s="14"/>
      <c r="J651" s="42">
        <f>AVERAGE(J640:J650)</f>
        <v>332280.75130909088</v>
      </c>
      <c r="K651" s="42">
        <f>AVERAGE(K640:K650)</f>
        <v>330677.81854545459</v>
      </c>
      <c r="L651" s="43">
        <f>AVERAGE(L640:L650)</f>
        <v>3.8806372425319964E-3</v>
      </c>
      <c r="M651" s="42">
        <f>AVERAGE(M640:M650)</f>
        <v>314.78265454545459</v>
      </c>
      <c r="N651" s="14"/>
      <c r="O651" s="43">
        <f>AVERAGE(O640:O642)</f>
        <v>-4.1541511488353736E-2</v>
      </c>
      <c r="P651" s="43">
        <f>AVERAGE(P640:P646)</f>
        <v>-1.6476171759476074E-2</v>
      </c>
      <c r="Q651" s="43">
        <f>AVERAGE(Q640:Q646)</f>
        <v>-2.0997420618058673E-2</v>
      </c>
      <c r="R651" s="43">
        <f>AVERAGE(R640:R646)</f>
        <v>-0.32620000083010631</v>
      </c>
      <c r="S651" s="2"/>
      <c r="T651" s="2"/>
      <c r="U651" s="2"/>
    </row>
    <row r="652" spans="1:21" x14ac:dyDescent="0.2">
      <c r="A652" s="14"/>
      <c r="B652" s="14"/>
      <c r="C652" s="42"/>
      <c r="D652" s="43"/>
      <c r="E652" s="42"/>
      <c r="F652" s="14"/>
      <c r="G652" s="42"/>
      <c r="H652" s="42"/>
      <c r="I652" s="14"/>
      <c r="J652" s="42"/>
      <c r="K652" s="42"/>
      <c r="L652" s="43"/>
      <c r="M652" s="42"/>
      <c r="N652" s="14"/>
      <c r="O652" s="14"/>
      <c r="P652" s="14"/>
      <c r="Q652" s="14"/>
      <c r="R652" s="14"/>
      <c r="S652" s="2"/>
      <c r="T652" s="2"/>
      <c r="U652" s="2"/>
    </row>
    <row r="653" spans="1:21" x14ac:dyDescent="0.2">
      <c r="A653" s="14" t="s">
        <v>259</v>
      </c>
      <c r="B653" s="14">
        <v>0.3</v>
      </c>
      <c r="C653" s="42">
        <f>AVERAGE(K202,K268,K301)</f>
        <v>124842.12346666334</v>
      </c>
      <c r="D653" s="43">
        <f>AVERAGE(M202,M268,M301)</f>
        <v>0.13154285298159499</v>
      </c>
      <c r="E653" s="42">
        <f>AVERAGE(L202,L268,L301)</f>
        <v>1299.1733333333334</v>
      </c>
      <c r="F653" s="14"/>
      <c r="G653" s="42">
        <f>AVERAGE(G202)</f>
        <v>99459.003599999996</v>
      </c>
      <c r="H653" s="42">
        <f>AVERAGE(H202)</f>
        <v>36.598980708003999</v>
      </c>
      <c r="I653" s="14"/>
      <c r="J653" s="42">
        <f t="shared" ref="J653:M654" si="177">AVERAGE(C202,C268,C301)</f>
        <v>124186.23666666665</v>
      </c>
      <c r="K653" s="42">
        <f t="shared" si="177"/>
        <v>124186.23666666665</v>
      </c>
      <c r="L653" s="43">
        <f t="shared" si="177"/>
        <v>0</v>
      </c>
      <c r="M653" s="42">
        <f t="shared" si="177"/>
        <v>28.189999999999998</v>
      </c>
      <c r="N653" s="14"/>
      <c r="O653" s="43">
        <f>(J653-C653)/C653</f>
        <v>-5.2537299253150836E-3</v>
      </c>
      <c r="P653" s="43">
        <f>(AVERAGE(C202)-G653)/G653</f>
        <v>-3.6195818036204839E-8</v>
      </c>
      <c r="Q653" s="43">
        <f>(AVERAGE(D202)-G653)/K653</f>
        <v>-2.8988719627850138E-8</v>
      </c>
      <c r="R653" s="43">
        <f>(AVERAGE(F202)-H653)/H653</f>
        <v>-0.23784762689033764</v>
      </c>
      <c r="S653" s="2"/>
      <c r="T653" s="2"/>
      <c r="U653" s="2"/>
    </row>
    <row r="654" spans="1:21" x14ac:dyDescent="0.2">
      <c r="A654" s="14" t="s">
        <v>260</v>
      </c>
      <c r="B654" s="14">
        <v>0.3</v>
      </c>
      <c r="C654" s="42">
        <f>AVERAGE(K203,K269,K302)</f>
        <v>189413.35350766164</v>
      </c>
      <c r="D654" s="43">
        <f>AVERAGE(M203,M269,M302)</f>
        <v>0.30629228436243233</v>
      </c>
      <c r="E654" s="42">
        <f>AVERAGE(L203,L269,L302)</f>
        <v>3358.2999999999997</v>
      </c>
      <c r="F654" s="14"/>
      <c r="G654" s="42">
        <f>AVERAGE(G203,G302)</f>
        <v>179069.3058</v>
      </c>
      <c r="H654" s="42">
        <f>AVERAGE(H203,H302)</f>
        <v>118.80944145800399</v>
      </c>
      <c r="I654" s="14"/>
      <c r="J654" s="42">
        <f t="shared" si="177"/>
        <v>188793.73933333333</v>
      </c>
      <c r="K654" s="42">
        <f t="shared" si="177"/>
        <v>188541.06333333332</v>
      </c>
      <c r="L654" s="43">
        <f t="shared" si="177"/>
        <v>1.1279803674982595E-3</v>
      </c>
      <c r="M654" s="42">
        <f t="shared" si="177"/>
        <v>66.097333333333339</v>
      </c>
      <c r="N654" s="14"/>
      <c r="O654" s="43">
        <f>(J654-C654)/C654</f>
        <v>-3.2712275183029525E-3</v>
      </c>
      <c r="P654" s="43">
        <f>(AVERAGE(C203,C302)-G654)/G654</f>
        <v>-1.7626224583264179E-2</v>
      </c>
      <c r="Q654" s="43">
        <f>(AVERAGE(D203,D302)-G654)/K654</f>
        <v>-1.6740734056536886E-2</v>
      </c>
      <c r="R654" s="43">
        <f>(AVERAGE(F203,F302)-H654)/H654</f>
        <v>-0.49025936611774174</v>
      </c>
      <c r="S654" s="2"/>
      <c r="T654" s="2"/>
      <c r="U654" s="2"/>
    </row>
    <row r="655" spans="1:21" x14ac:dyDescent="0.2">
      <c r="A655" s="14" t="s">
        <v>261</v>
      </c>
      <c r="B655" s="14">
        <v>0.3</v>
      </c>
      <c r="C655" s="42" t="s">
        <v>15</v>
      </c>
      <c r="D655" s="43" t="s">
        <v>32</v>
      </c>
      <c r="E655" s="42">
        <f>AVERAGE(L204,L237,L270,L303,L336)</f>
        <v>3699.8839999999996</v>
      </c>
      <c r="F655" s="14"/>
      <c r="G655" s="42">
        <f>AVERAGE(G303)</f>
        <v>305242.882099977</v>
      </c>
      <c r="H655" s="42">
        <f>AVERAGE(H303)</f>
        <v>128.73917737499801</v>
      </c>
      <c r="I655" s="14"/>
      <c r="J655" s="42">
        <f>AVERAGE(C204,C270,C303,C336)</f>
        <v>287389.57949999999</v>
      </c>
      <c r="K655" s="42">
        <f>AVERAGE(D204,D270,D303,D336)</f>
        <v>286692.30499999999</v>
      </c>
      <c r="L655" s="43">
        <f>AVERAGE(E204,E270,E303,E336)</f>
        <v>2.5656252322503207E-3</v>
      </c>
      <c r="M655" s="42">
        <f>AVERAGE(F204,F270,F303,F336)</f>
        <v>125.62750000000001</v>
      </c>
      <c r="N655" s="14"/>
      <c r="O655" s="43" t="s">
        <v>32</v>
      </c>
      <c r="P655" s="43">
        <f>(AVERAGE(C303)-G655)/G655</f>
        <v>-5.3633382005005746E-2</v>
      </c>
      <c r="Q655" s="43">
        <f>(AVERAGE(D303)-G655)/K655</f>
        <v>-5.7570893296131534E-2</v>
      </c>
      <c r="R655" s="43">
        <f>(AVERAGE(F303)-H655)/H655</f>
        <v>-0.16853593301903247</v>
      </c>
      <c r="S655" s="2"/>
      <c r="T655" s="2"/>
      <c r="U655" s="2"/>
    </row>
    <row r="656" spans="1:21" x14ac:dyDescent="0.2">
      <c r="A656" s="14" t="s">
        <v>262</v>
      </c>
      <c r="B656" s="14">
        <v>0.3</v>
      </c>
      <c r="C656" s="42">
        <f>AVERAGE(K205)</f>
        <v>313085.88987498899</v>
      </c>
      <c r="D656" s="43">
        <f>AVERAGE(M205)</f>
        <v>0.63794890171483998</v>
      </c>
      <c r="E656" s="42">
        <f>AVERAGE(L205)</f>
        <v>3751.69</v>
      </c>
      <c r="F656" s="14"/>
      <c r="G656" s="42" t="s">
        <v>15</v>
      </c>
      <c r="H656" s="42" t="s">
        <v>32</v>
      </c>
      <c r="I656" s="14"/>
      <c r="J656" s="42">
        <f t="shared" ref="J656:M662" si="178">AVERAGE(C205,C238,C271,C304,C337)</f>
        <v>328956.228</v>
      </c>
      <c r="K656" s="42">
        <f t="shared" si="178"/>
        <v>328445.092</v>
      </c>
      <c r="L656" s="43">
        <f t="shared" si="178"/>
        <v>1.124145982467475E-3</v>
      </c>
      <c r="M656" s="42">
        <f t="shared" si="178"/>
        <v>249.63639999999995</v>
      </c>
      <c r="N656" s="14"/>
      <c r="O656" s="43">
        <f>(AVERAGE(C205)-C656)/C656</f>
        <v>-0.11001966230015252</v>
      </c>
      <c r="P656" s="43" t="s">
        <v>32</v>
      </c>
      <c r="Q656" s="43" t="s">
        <v>32</v>
      </c>
      <c r="R656" s="43" t="s">
        <v>32</v>
      </c>
      <c r="S656" s="2"/>
      <c r="T656" s="2"/>
      <c r="U656" s="2"/>
    </row>
    <row r="657" spans="1:21" x14ac:dyDescent="0.2">
      <c r="A657" s="14" t="s">
        <v>263</v>
      </c>
      <c r="B657" s="14">
        <v>0.3</v>
      </c>
      <c r="C657" s="42" t="s">
        <v>15</v>
      </c>
      <c r="D657" s="43" t="s">
        <v>32</v>
      </c>
      <c r="E657" s="42" t="s">
        <v>32</v>
      </c>
      <c r="F657" s="14"/>
      <c r="G657" s="42">
        <f>AVERAGE(G338)</f>
        <v>401553.7904</v>
      </c>
      <c r="H657" s="42">
        <f>AVERAGE(H338)</f>
        <v>226.578564875002</v>
      </c>
      <c r="I657" s="14"/>
      <c r="J657" s="42">
        <f t="shared" si="178"/>
        <v>386794.15889999998</v>
      </c>
      <c r="K657" s="42">
        <f t="shared" si="178"/>
        <v>384911.41399999999</v>
      </c>
      <c r="L657" s="43">
        <f t="shared" si="178"/>
        <v>4.0072149333628231E-3</v>
      </c>
      <c r="M657" s="42">
        <f t="shared" si="178"/>
        <v>442.19880000000001</v>
      </c>
      <c r="N657" s="14"/>
      <c r="O657" s="43" t="s">
        <v>32</v>
      </c>
      <c r="P657" s="43">
        <f>(AVERAGE(C338)-G657)/G657</f>
        <v>-2.414312760027177E-2</v>
      </c>
      <c r="Q657" s="43">
        <f>(AVERAGE(D338)-G657)/K657</f>
        <v>-2.5987876784552794E-2</v>
      </c>
      <c r="R657" s="43">
        <f>(AVERAGE(F338)-H657)/H657</f>
        <v>0.30926771543308068</v>
      </c>
      <c r="S657" s="2"/>
      <c r="T657" s="2"/>
      <c r="U657" s="2"/>
    </row>
    <row r="658" spans="1:21" x14ac:dyDescent="0.2">
      <c r="A658" s="14" t="s">
        <v>264</v>
      </c>
      <c r="B658" s="14">
        <v>0.3</v>
      </c>
      <c r="C658" s="61" t="s">
        <v>32</v>
      </c>
      <c r="D658" s="62" t="s">
        <v>32</v>
      </c>
      <c r="E658" s="61" t="s">
        <v>32</v>
      </c>
      <c r="F658" s="14"/>
      <c r="G658" s="42" t="s">
        <v>15</v>
      </c>
      <c r="H658" s="42" t="s">
        <v>32</v>
      </c>
      <c r="I658" s="14"/>
      <c r="J658" s="42">
        <f t="shared" si="178"/>
        <v>407793.76826666662</v>
      </c>
      <c r="K658" s="42">
        <f t="shared" si="178"/>
        <v>406101.61600000004</v>
      </c>
      <c r="L658" s="43">
        <f t="shared" si="178"/>
        <v>3.0468921808568016E-3</v>
      </c>
      <c r="M658" s="42">
        <f t="shared" si="178"/>
        <v>806.85419999999999</v>
      </c>
      <c r="N658" s="14"/>
      <c r="O658" s="43" t="s">
        <v>32</v>
      </c>
      <c r="P658" s="43" t="s">
        <v>32</v>
      </c>
      <c r="Q658" s="43" t="s">
        <v>32</v>
      </c>
      <c r="R658" s="43" t="s">
        <v>32</v>
      </c>
      <c r="S658" s="2"/>
      <c r="T658" s="2"/>
      <c r="U658" s="2"/>
    </row>
    <row r="659" spans="1:21" x14ac:dyDescent="0.2">
      <c r="A659" s="14" t="s">
        <v>265</v>
      </c>
      <c r="B659" s="14">
        <v>0.3</v>
      </c>
      <c r="C659" s="61" t="s">
        <v>32</v>
      </c>
      <c r="D659" s="62" t="s">
        <v>32</v>
      </c>
      <c r="E659" s="61" t="s">
        <v>32</v>
      </c>
      <c r="F659" s="14"/>
      <c r="G659" s="42" t="s">
        <v>15</v>
      </c>
      <c r="H659" s="42" t="s">
        <v>32</v>
      </c>
      <c r="I659" s="14"/>
      <c r="J659" s="42">
        <f t="shared" si="178"/>
        <v>454774.18520000001</v>
      </c>
      <c r="K659" s="42">
        <f t="shared" si="178"/>
        <v>453434.65599999996</v>
      </c>
      <c r="L659" s="43">
        <f t="shared" si="178"/>
        <v>3.4905584301561481E-3</v>
      </c>
      <c r="M659" s="42">
        <f t="shared" si="178"/>
        <v>1142.6772000000001</v>
      </c>
      <c r="N659" s="14"/>
      <c r="O659" s="61" t="s">
        <v>32</v>
      </c>
      <c r="P659" s="62" t="s">
        <v>32</v>
      </c>
      <c r="Q659" s="61" t="s">
        <v>32</v>
      </c>
      <c r="R659" s="43" t="s">
        <v>32</v>
      </c>
      <c r="S659" s="2"/>
      <c r="T659" s="2"/>
      <c r="U659" s="2"/>
    </row>
    <row r="660" spans="1:21" x14ac:dyDescent="0.2">
      <c r="A660" s="14" t="s">
        <v>266</v>
      </c>
      <c r="B660" s="14">
        <v>0.3</v>
      </c>
      <c r="C660" s="61" t="s">
        <v>32</v>
      </c>
      <c r="D660" s="62" t="s">
        <v>32</v>
      </c>
      <c r="E660" s="61" t="s">
        <v>32</v>
      </c>
      <c r="F660" s="14"/>
      <c r="G660" s="42" t="s">
        <v>15</v>
      </c>
      <c r="H660" s="42" t="s">
        <v>32</v>
      </c>
      <c r="I660" s="14"/>
      <c r="J660" s="42">
        <f t="shared" si="178"/>
        <v>493226.07199999999</v>
      </c>
      <c r="K660" s="42">
        <f t="shared" si="178"/>
        <v>491340.93</v>
      </c>
      <c r="L660" s="43">
        <f t="shared" si="178"/>
        <v>4.9216725622860443E-3</v>
      </c>
      <c r="M660" s="42">
        <f t="shared" si="178"/>
        <v>1655.2307999999998</v>
      </c>
      <c r="N660" s="14"/>
      <c r="O660" s="61" t="s">
        <v>32</v>
      </c>
      <c r="P660" s="62" t="s">
        <v>32</v>
      </c>
      <c r="Q660" s="61" t="s">
        <v>32</v>
      </c>
      <c r="R660" s="43" t="s">
        <v>32</v>
      </c>
      <c r="S660" s="2"/>
      <c r="T660" s="2"/>
      <c r="U660" s="2"/>
    </row>
    <row r="661" spans="1:21" x14ac:dyDescent="0.2">
      <c r="A661" s="14" t="s">
        <v>267</v>
      </c>
      <c r="B661" s="14">
        <v>0.3</v>
      </c>
      <c r="C661" s="61" t="s">
        <v>32</v>
      </c>
      <c r="D661" s="62" t="s">
        <v>32</v>
      </c>
      <c r="E661" s="61" t="s">
        <v>32</v>
      </c>
      <c r="F661" s="14"/>
      <c r="G661" s="42" t="s">
        <v>32</v>
      </c>
      <c r="H661" s="42" t="s">
        <v>32</v>
      </c>
      <c r="I661" s="14"/>
      <c r="J661" s="42">
        <f t="shared" si="178"/>
        <v>552355.63560000004</v>
      </c>
      <c r="K661" s="42">
        <f t="shared" si="178"/>
        <v>549891.23400000005</v>
      </c>
      <c r="L661" s="43">
        <f t="shared" si="178"/>
        <v>4.6260729836464596E-3</v>
      </c>
      <c r="M661" s="42">
        <f t="shared" si="178"/>
        <v>2097.4675999999995</v>
      </c>
      <c r="N661" s="14"/>
      <c r="O661" s="61" t="s">
        <v>32</v>
      </c>
      <c r="P661" s="62" t="s">
        <v>32</v>
      </c>
      <c r="Q661" s="61" t="s">
        <v>32</v>
      </c>
      <c r="R661" s="43" t="s">
        <v>32</v>
      </c>
      <c r="S661" s="2"/>
      <c r="T661" s="2"/>
      <c r="U661" s="2"/>
    </row>
    <row r="662" spans="1:21" x14ac:dyDescent="0.2">
      <c r="A662" s="14" t="s">
        <v>268</v>
      </c>
      <c r="B662" s="14">
        <v>0.3</v>
      </c>
      <c r="C662" s="61" t="s">
        <v>32</v>
      </c>
      <c r="D662" s="62" t="s">
        <v>32</v>
      </c>
      <c r="E662" s="61" t="s">
        <v>32</v>
      </c>
      <c r="F662" s="14"/>
      <c r="G662" s="14" t="s">
        <v>32</v>
      </c>
      <c r="H662" s="14" t="s">
        <v>32</v>
      </c>
      <c r="I662" s="14"/>
      <c r="J662" s="42">
        <f t="shared" si="178"/>
        <v>600334.7132</v>
      </c>
      <c r="K662" s="42">
        <f t="shared" si="178"/>
        <v>596725.90999999992</v>
      </c>
      <c r="L662" s="43">
        <f t="shared" si="178"/>
        <v>4.0151256238771353E-3</v>
      </c>
      <c r="M662" s="42">
        <f t="shared" si="178"/>
        <v>2398.7055999999998</v>
      </c>
      <c r="N662" s="14"/>
      <c r="O662" s="61" t="s">
        <v>32</v>
      </c>
      <c r="P662" s="62" t="s">
        <v>32</v>
      </c>
      <c r="Q662" s="61" t="s">
        <v>32</v>
      </c>
      <c r="R662" s="14" t="s">
        <v>32</v>
      </c>
      <c r="S662" s="2"/>
      <c r="T662" s="2"/>
      <c r="U662" s="2"/>
    </row>
    <row r="663" spans="1:21" x14ac:dyDescent="0.2">
      <c r="A663" s="14" t="s">
        <v>269</v>
      </c>
      <c r="B663" s="14">
        <v>0.3</v>
      </c>
      <c r="C663" s="61" t="s">
        <v>32</v>
      </c>
      <c r="D663" s="62" t="s">
        <v>32</v>
      </c>
      <c r="E663" s="61" t="s">
        <v>32</v>
      </c>
      <c r="F663" s="14"/>
      <c r="G663" s="14" t="s">
        <v>32</v>
      </c>
      <c r="H663" s="14" t="s">
        <v>32</v>
      </c>
      <c r="I663" s="14"/>
      <c r="J663" s="42">
        <f>C347</f>
        <v>627638.14199999999</v>
      </c>
      <c r="K663" s="42">
        <f>D347</f>
        <v>610607.38</v>
      </c>
      <c r="L663" s="43">
        <f>E347</f>
        <v>1.528141901946182E-2</v>
      </c>
      <c r="M663" s="42">
        <f>F347</f>
        <v>2684.2539999999999</v>
      </c>
      <c r="N663" s="14"/>
      <c r="O663" s="61" t="s">
        <v>32</v>
      </c>
      <c r="P663" s="62" t="s">
        <v>32</v>
      </c>
      <c r="Q663" s="61" t="s">
        <v>32</v>
      </c>
      <c r="R663" s="14" t="s">
        <v>32</v>
      </c>
      <c r="S663" s="2"/>
      <c r="T663" s="2"/>
      <c r="U663" s="2"/>
    </row>
    <row r="664" spans="1:21" x14ac:dyDescent="0.2">
      <c r="A664" s="14" t="s">
        <v>270</v>
      </c>
      <c r="B664" s="14">
        <v>0.3</v>
      </c>
      <c r="C664" s="42">
        <f>AVERAGE(C653:C654,C656)</f>
        <v>209113.78894977132</v>
      </c>
      <c r="D664" s="22">
        <f>AVERAGE(D653:D654,D656)</f>
        <v>0.35859467968628911</v>
      </c>
      <c r="E664" s="42">
        <f>AVERAGE(E653:E654,E656)</f>
        <v>2803.0544444444445</v>
      </c>
      <c r="F664" s="14"/>
      <c r="G664" s="42">
        <f>AVERAGE(G653:G655,G657)</f>
        <v>246331.24547499424</v>
      </c>
      <c r="H664" s="42">
        <f>AVERAGE(H653:H655,H657)</f>
        <v>127.68154110400201</v>
      </c>
      <c r="I664" s="14"/>
      <c r="J664" s="42">
        <f>AVERAGE(J653:J663)</f>
        <v>404749.31442424248</v>
      </c>
      <c r="K664" s="42">
        <f>AVERAGE(K653:K663)</f>
        <v>401897.98518181819</v>
      </c>
      <c r="L664" s="43">
        <f>AVERAGE(L653:L663)</f>
        <v>4.0187915741693898E-3</v>
      </c>
      <c r="M664" s="42">
        <f>AVERAGE(M653:M663)</f>
        <v>1063.3581303030303</v>
      </c>
      <c r="N664" s="14"/>
      <c r="O664" s="43">
        <f>AVERAGE(O653:O654,O656)</f>
        <v>-3.9514873247923514E-2</v>
      </c>
      <c r="P664" s="43">
        <f>AVERAGE(P653:P655,P657)</f>
        <v>-2.3850692596089934E-2</v>
      </c>
      <c r="Q664" s="43">
        <f>AVERAGE(Q653:Q655,Q657)</f>
        <v>-2.5074883281485209E-2</v>
      </c>
      <c r="R664" s="43">
        <f>AVERAGE(R653:R655,R657)</f>
        <v>-0.14684380264850777</v>
      </c>
      <c r="S664" s="2"/>
      <c r="T664" s="2"/>
      <c r="U664" s="2"/>
    </row>
    <row r="665" spans="1:21" x14ac:dyDescent="0.2">
      <c r="A665" s="14"/>
      <c r="B665" s="14"/>
      <c r="C665" s="14"/>
      <c r="D665" s="14"/>
      <c r="E665" s="14"/>
      <c r="F665" s="14"/>
      <c r="G665" s="14"/>
      <c r="H665" s="14"/>
      <c r="I665" s="14"/>
      <c r="J665" s="14"/>
      <c r="K665" s="14"/>
      <c r="L665" s="14"/>
      <c r="M665" s="14"/>
      <c r="N665" s="14"/>
      <c r="O665" s="14"/>
      <c r="P665" s="14"/>
      <c r="Q665" s="14"/>
      <c r="R665" s="14"/>
      <c r="S665" s="2"/>
      <c r="T665" s="2"/>
      <c r="U665" s="2"/>
    </row>
    <row r="666" spans="1:21" x14ac:dyDescent="0.2">
      <c r="A666" s="14"/>
      <c r="B666" s="14"/>
      <c r="C666" s="14"/>
      <c r="D666" s="14"/>
      <c r="E666" s="14"/>
      <c r="F666" s="14"/>
      <c r="G666" s="14"/>
      <c r="H666" s="14"/>
      <c r="I666" s="14"/>
      <c r="J666" s="14"/>
      <c r="K666" s="14"/>
      <c r="L666" s="14"/>
      <c r="M666" s="14"/>
      <c r="N666" s="14"/>
      <c r="O666" s="14"/>
      <c r="P666" s="14"/>
      <c r="Q666" s="14"/>
      <c r="R666" s="14"/>
      <c r="S666" s="2"/>
      <c r="T666" s="2"/>
      <c r="U666" s="2"/>
    </row>
    <row r="667" spans="1:21" x14ac:dyDescent="0.2">
      <c r="A667" s="14"/>
      <c r="B667" s="14"/>
      <c r="C667" s="14"/>
      <c r="D667" s="14"/>
      <c r="E667" s="14"/>
      <c r="F667" s="14"/>
      <c r="G667" s="14"/>
      <c r="H667" s="14"/>
      <c r="I667" s="14"/>
      <c r="J667" s="14"/>
      <c r="K667" s="14"/>
      <c r="L667" s="14"/>
      <c r="M667" s="14"/>
      <c r="N667" s="14"/>
      <c r="O667" s="14"/>
      <c r="P667" s="14"/>
      <c r="Q667" s="14"/>
      <c r="R667" s="14"/>
      <c r="S667" s="2"/>
      <c r="T667" s="2"/>
      <c r="U667" s="2"/>
    </row>
    <row r="668" spans="1:21" x14ac:dyDescent="0.2">
      <c r="A668" s="14"/>
      <c r="B668" s="14"/>
      <c r="C668" s="14"/>
      <c r="D668" s="14"/>
      <c r="E668" s="14"/>
      <c r="F668" s="14"/>
      <c r="G668" s="14"/>
      <c r="H668" s="14"/>
      <c r="I668" s="14"/>
      <c r="J668" s="14"/>
      <c r="K668" s="14"/>
      <c r="L668" s="14"/>
      <c r="M668" s="14"/>
      <c r="N668" s="14"/>
      <c r="O668" s="14"/>
      <c r="P668" s="14"/>
      <c r="Q668" s="14"/>
      <c r="R668" s="14"/>
      <c r="S668" s="2"/>
      <c r="T668" s="2"/>
      <c r="U668" s="2"/>
    </row>
  </sheetData>
  <mergeCells count="14">
    <mergeCell ref="C579:F579"/>
    <mergeCell ref="J579:N579"/>
    <mergeCell ref="C625:F625"/>
    <mergeCell ref="J625:N625"/>
    <mergeCell ref="G579:H579"/>
    <mergeCell ref="G625:H625"/>
    <mergeCell ref="C5:F5"/>
    <mergeCell ref="G5:H5"/>
    <mergeCell ref="I5:J5"/>
    <mergeCell ref="K5:M5"/>
    <mergeCell ref="N5:O5"/>
    <mergeCell ref="C531:F531"/>
    <mergeCell ref="G531:I531"/>
    <mergeCell ref="J531:N53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AE2E16-EE32-EA42-ABBA-1465B2739482}">
  <dimension ref="A2:R25"/>
  <sheetViews>
    <sheetView zoomScale="75" workbookViewId="0">
      <selection activeCell="C20" sqref="C20:J25"/>
    </sheetView>
  </sheetViews>
  <sheetFormatPr baseColWidth="10" defaultRowHeight="16" x14ac:dyDescent="0.2"/>
  <cols>
    <col min="3" max="3" width="14" customWidth="1"/>
    <col min="5" max="5" width="14.33203125" customWidth="1"/>
    <col min="6" max="6" width="18.33203125" customWidth="1"/>
    <col min="8" max="8" width="20.6640625" customWidth="1"/>
    <col min="12" max="12" width="14.1640625" customWidth="1"/>
    <col min="13" max="13" width="14" customWidth="1"/>
    <col min="15" max="15" width="16.83203125" customWidth="1"/>
  </cols>
  <sheetData>
    <row r="2" spans="1:18" s="77" customFormat="1" ht="27" x14ac:dyDescent="0.35">
      <c r="A2" s="77" t="s">
        <v>298</v>
      </c>
    </row>
    <row r="4" spans="1:18" ht="17" thickBot="1" x14ac:dyDescent="0.25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spans="1:18" ht="17" thickBot="1" x14ac:dyDescent="0.25">
      <c r="A5" s="1"/>
      <c r="B5" s="45" t="s">
        <v>275</v>
      </c>
      <c r="C5" s="46" t="s">
        <v>276</v>
      </c>
      <c r="D5" s="71" t="s">
        <v>292</v>
      </c>
      <c r="E5" s="70"/>
      <c r="F5" s="70"/>
      <c r="G5" s="70"/>
      <c r="H5" s="70"/>
      <c r="I5" s="72"/>
      <c r="J5" s="47" t="s">
        <v>277</v>
      </c>
      <c r="K5" s="73" t="s">
        <v>293</v>
      </c>
      <c r="L5" s="70"/>
      <c r="M5" s="70"/>
      <c r="N5" s="70"/>
      <c r="O5" s="70"/>
      <c r="P5" s="74"/>
      <c r="Q5" s="48" t="s">
        <v>277</v>
      </c>
      <c r="R5" s="1"/>
    </row>
    <row r="6" spans="1:18" ht="17" thickBot="1" x14ac:dyDescent="0.25">
      <c r="A6" s="1"/>
      <c r="B6" s="49"/>
      <c r="C6" s="50" t="s">
        <v>278</v>
      </c>
      <c r="D6" s="71" t="s">
        <v>278</v>
      </c>
      <c r="E6" s="70"/>
      <c r="F6" s="72"/>
      <c r="G6" s="73" t="s">
        <v>294</v>
      </c>
      <c r="H6" s="70"/>
      <c r="I6" s="72"/>
      <c r="J6" s="51"/>
      <c r="K6" s="73" t="s">
        <v>278</v>
      </c>
      <c r="L6" s="70"/>
      <c r="M6" s="72"/>
      <c r="N6" s="73" t="s">
        <v>295</v>
      </c>
      <c r="O6" s="70"/>
      <c r="P6" s="74"/>
      <c r="Q6" s="52"/>
      <c r="R6" s="1"/>
    </row>
    <row r="7" spans="1:18" ht="17" thickBot="1" x14ac:dyDescent="0.25">
      <c r="A7" s="1"/>
      <c r="B7" s="53"/>
      <c r="C7" s="99" t="s">
        <v>279</v>
      </c>
      <c r="D7" s="89" t="s">
        <v>279</v>
      </c>
      <c r="E7" s="89" t="s">
        <v>280</v>
      </c>
      <c r="F7" s="89" t="s">
        <v>281</v>
      </c>
      <c r="G7" s="89" t="s">
        <v>279</v>
      </c>
      <c r="H7" s="89" t="s">
        <v>280</v>
      </c>
      <c r="I7" s="89" t="s">
        <v>281</v>
      </c>
      <c r="J7" s="89"/>
      <c r="K7" s="89" t="s">
        <v>279</v>
      </c>
      <c r="L7" s="89" t="s">
        <v>280</v>
      </c>
      <c r="M7" s="89" t="s">
        <v>281</v>
      </c>
      <c r="N7" s="89" t="s">
        <v>279</v>
      </c>
      <c r="O7" s="89" t="s">
        <v>280</v>
      </c>
      <c r="P7" s="91" t="s">
        <v>281</v>
      </c>
      <c r="Q7" s="80"/>
      <c r="R7" s="1"/>
    </row>
    <row r="8" spans="1:18" x14ac:dyDescent="0.2">
      <c r="A8" s="1"/>
      <c r="B8" s="79" t="s">
        <v>282</v>
      </c>
      <c r="C8" s="80">
        <v>188224.86</v>
      </c>
      <c r="D8" s="81">
        <v>193695.24</v>
      </c>
      <c r="E8" s="82">
        <v>0</v>
      </c>
      <c r="F8" s="81">
        <v>0</v>
      </c>
      <c r="G8" s="83">
        <v>193498.88</v>
      </c>
      <c r="H8" s="84">
        <v>0</v>
      </c>
      <c r="I8" s="83">
        <v>0</v>
      </c>
      <c r="J8" s="85">
        <v>-1E-3</v>
      </c>
      <c r="K8" s="86">
        <v>247585.56</v>
      </c>
      <c r="L8" s="81">
        <v>0</v>
      </c>
      <c r="M8" s="81">
        <v>4.25</v>
      </c>
      <c r="N8" s="81">
        <v>244251.13</v>
      </c>
      <c r="O8" s="82">
        <v>0</v>
      </c>
      <c r="P8" s="83">
        <v>0</v>
      </c>
      <c r="Q8" s="87">
        <v>-1.2999999999999999E-2</v>
      </c>
      <c r="R8" s="1"/>
    </row>
    <row r="9" spans="1:18" x14ac:dyDescent="0.2">
      <c r="A9" s="1"/>
      <c r="B9" s="79" t="s">
        <v>283</v>
      </c>
      <c r="C9" s="88">
        <v>237714.67</v>
      </c>
      <c r="D9" s="89">
        <v>244960.33</v>
      </c>
      <c r="E9" s="90">
        <v>0</v>
      </c>
      <c r="F9" s="89">
        <v>0</v>
      </c>
      <c r="G9" s="91">
        <v>240994.53</v>
      </c>
      <c r="H9" s="92">
        <v>0</v>
      </c>
      <c r="I9" s="91">
        <v>0</v>
      </c>
      <c r="J9" s="93">
        <v>-1.6E-2</v>
      </c>
      <c r="K9" s="94">
        <v>310085.65999999997</v>
      </c>
      <c r="L9" s="95">
        <v>6.5100000000000005E-2</v>
      </c>
      <c r="M9" s="89">
        <v>5.75</v>
      </c>
      <c r="N9" s="94">
        <v>324738.32</v>
      </c>
      <c r="O9" s="90">
        <v>0</v>
      </c>
      <c r="P9" s="91">
        <v>0</v>
      </c>
      <c r="Q9" s="96">
        <v>4.7E-2</v>
      </c>
      <c r="R9" s="1"/>
    </row>
    <row r="10" spans="1:18" x14ac:dyDescent="0.2">
      <c r="A10" s="1"/>
      <c r="B10" s="79" t="s">
        <v>284</v>
      </c>
      <c r="C10" s="80">
        <v>279360.53000000003</v>
      </c>
      <c r="D10" s="94">
        <v>300715.23</v>
      </c>
      <c r="E10" s="90">
        <v>0</v>
      </c>
      <c r="F10" s="89">
        <v>0</v>
      </c>
      <c r="G10" s="91">
        <v>280110</v>
      </c>
      <c r="H10" s="92">
        <v>0</v>
      </c>
      <c r="I10" s="91">
        <v>0</v>
      </c>
      <c r="J10" s="93">
        <v>-6.9000000000000006E-2</v>
      </c>
      <c r="K10" s="94">
        <v>366265.29</v>
      </c>
      <c r="L10" s="97">
        <v>9.5000000000000001E-2</v>
      </c>
      <c r="M10" s="89">
        <v>9</v>
      </c>
      <c r="N10" s="89">
        <v>411718.11</v>
      </c>
      <c r="O10" s="90">
        <v>0</v>
      </c>
      <c r="P10" s="91">
        <v>0</v>
      </c>
      <c r="Q10" s="96">
        <v>0.124</v>
      </c>
      <c r="R10" s="1"/>
    </row>
    <row r="11" spans="1:18" x14ac:dyDescent="0.2">
      <c r="A11" s="1"/>
      <c r="B11" s="79" t="s">
        <v>285</v>
      </c>
      <c r="C11" s="80">
        <v>184435.57</v>
      </c>
      <c r="D11" s="94">
        <v>190510.44</v>
      </c>
      <c r="E11" s="90">
        <v>0</v>
      </c>
      <c r="F11" s="89">
        <v>0</v>
      </c>
      <c r="G11" s="91">
        <v>189689.77</v>
      </c>
      <c r="H11" s="92">
        <v>0</v>
      </c>
      <c r="I11" s="91">
        <v>0</v>
      </c>
      <c r="J11" s="93">
        <v>-4.0000000000000001E-3</v>
      </c>
      <c r="K11" s="94">
        <v>242297.04</v>
      </c>
      <c r="L11" s="89">
        <v>0</v>
      </c>
      <c r="M11" s="89">
        <v>4.25</v>
      </c>
      <c r="N11" s="89">
        <v>239161.19</v>
      </c>
      <c r="O11" s="90">
        <v>0</v>
      </c>
      <c r="P11" s="91">
        <v>0</v>
      </c>
      <c r="Q11" s="96">
        <v>-1.2999999999999999E-2</v>
      </c>
      <c r="R11" s="1"/>
    </row>
    <row r="12" spans="1:18" x14ac:dyDescent="0.2">
      <c r="A12" s="1"/>
      <c r="B12" s="79" t="s">
        <v>286</v>
      </c>
      <c r="C12" s="80">
        <v>233760.611</v>
      </c>
      <c r="D12" s="94">
        <v>240049.76</v>
      </c>
      <c r="E12" s="90">
        <v>0</v>
      </c>
      <c r="F12" s="89">
        <v>0</v>
      </c>
      <c r="G12" s="91">
        <v>239150.42</v>
      </c>
      <c r="H12" s="92">
        <v>0</v>
      </c>
      <c r="I12" s="91">
        <v>0</v>
      </c>
      <c r="J12" s="93">
        <v>-4.0000000000000001E-3</v>
      </c>
      <c r="K12" s="94">
        <v>304890.93</v>
      </c>
      <c r="L12" s="95">
        <v>5.04E-2</v>
      </c>
      <c r="M12" s="89">
        <v>7.25</v>
      </c>
      <c r="N12" s="89">
        <v>318618.02</v>
      </c>
      <c r="O12" s="90">
        <v>0</v>
      </c>
      <c r="P12" s="91">
        <v>0</v>
      </c>
      <c r="Q12" s="96">
        <v>4.4999999999999998E-2</v>
      </c>
      <c r="R12" s="1"/>
    </row>
    <row r="13" spans="1:18" ht="17" thickBot="1" x14ac:dyDescent="0.25">
      <c r="A13" s="1"/>
      <c r="B13" s="98" t="s">
        <v>287</v>
      </c>
      <c r="C13" s="99">
        <v>271283.26</v>
      </c>
      <c r="D13" s="100">
        <v>283167.08</v>
      </c>
      <c r="E13" s="101">
        <v>0</v>
      </c>
      <c r="F13" s="102">
        <v>0</v>
      </c>
      <c r="G13" s="103">
        <v>280110</v>
      </c>
      <c r="H13" s="104">
        <v>0</v>
      </c>
      <c r="I13" s="103">
        <v>0</v>
      </c>
      <c r="J13" s="105">
        <v>-1.0999999999999999E-2</v>
      </c>
      <c r="K13" s="100">
        <v>341821.59</v>
      </c>
      <c r="L13" s="106">
        <v>0.12130000000000001</v>
      </c>
      <c r="M13" s="102">
        <v>9</v>
      </c>
      <c r="N13" s="102">
        <v>403200.92</v>
      </c>
      <c r="O13" s="101">
        <v>0</v>
      </c>
      <c r="P13" s="103">
        <v>0</v>
      </c>
      <c r="Q13" s="107">
        <v>0.18</v>
      </c>
      <c r="R13" s="1"/>
    </row>
    <row r="14" spans="1:18" x14ac:dyDescent="0.2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</row>
    <row r="15" spans="1:18" x14ac:dyDescent="0.2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</row>
    <row r="16" spans="1:18" ht="17" thickBot="1" x14ac:dyDescent="0.25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</row>
    <row r="17" spans="1:18" ht="17" thickBot="1" x14ac:dyDescent="0.25">
      <c r="A17" s="1"/>
      <c r="B17" s="45" t="s">
        <v>275</v>
      </c>
      <c r="C17" s="46" t="s">
        <v>276</v>
      </c>
      <c r="D17" s="71" t="s">
        <v>296</v>
      </c>
      <c r="E17" s="70"/>
      <c r="F17" s="70"/>
      <c r="G17" s="70"/>
      <c r="H17" s="70"/>
      <c r="I17" s="72"/>
      <c r="J17" s="56" t="s">
        <v>277</v>
      </c>
      <c r="K17" s="1"/>
      <c r="L17" s="1"/>
      <c r="M17" s="1"/>
      <c r="N17" s="1"/>
      <c r="O17" s="1"/>
      <c r="P17" s="1"/>
      <c r="Q17" s="1"/>
      <c r="R17" s="1"/>
    </row>
    <row r="18" spans="1:18" ht="17" thickBot="1" x14ac:dyDescent="0.25">
      <c r="A18" s="1"/>
      <c r="B18" s="49"/>
      <c r="C18" s="50" t="s">
        <v>278</v>
      </c>
      <c r="D18" s="71" t="s">
        <v>278</v>
      </c>
      <c r="E18" s="70"/>
      <c r="F18" s="72"/>
      <c r="G18" s="73" t="s">
        <v>297</v>
      </c>
      <c r="H18" s="70"/>
      <c r="I18" s="70"/>
      <c r="J18" s="74"/>
      <c r="K18" s="1"/>
      <c r="L18" s="1"/>
      <c r="M18" s="1"/>
      <c r="N18" s="1"/>
      <c r="O18" s="1"/>
      <c r="P18" s="1"/>
      <c r="Q18" s="1"/>
      <c r="R18" s="1"/>
    </row>
    <row r="19" spans="1:18" ht="17" thickBot="1" x14ac:dyDescent="0.25">
      <c r="A19" s="1"/>
      <c r="B19" s="53"/>
      <c r="C19" s="54" t="s">
        <v>279</v>
      </c>
      <c r="D19" s="55" t="s">
        <v>279</v>
      </c>
      <c r="E19" s="55" t="s">
        <v>280</v>
      </c>
      <c r="F19" s="55" t="s">
        <v>281</v>
      </c>
      <c r="G19" s="55" t="s">
        <v>279</v>
      </c>
      <c r="H19" s="55" t="s">
        <v>280</v>
      </c>
      <c r="I19" s="55" t="s">
        <v>281</v>
      </c>
      <c r="J19" s="57"/>
      <c r="K19" s="1"/>
      <c r="L19" s="1"/>
      <c r="M19" s="1"/>
      <c r="N19" s="1"/>
      <c r="O19" s="1"/>
      <c r="P19" s="1"/>
      <c r="Q19" s="1"/>
      <c r="R19" s="1"/>
    </row>
    <row r="20" spans="1:18" x14ac:dyDescent="0.2">
      <c r="A20" s="1"/>
      <c r="B20" s="49" t="s">
        <v>282</v>
      </c>
      <c r="C20" s="80">
        <v>187897.68</v>
      </c>
      <c r="D20" s="81">
        <v>388870.56</v>
      </c>
      <c r="E20" s="108">
        <v>0</v>
      </c>
      <c r="F20" s="81">
        <v>0</v>
      </c>
      <c r="G20" s="81">
        <v>340416.62</v>
      </c>
      <c r="H20" s="82">
        <v>0</v>
      </c>
      <c r="I20" s="81">
        <v>0</v>
      </c>
      <c r="J20" s="109">
        <v>-0.125</v>
      </c>
      <c r="K20" s="1"/>
      <c r="L20" s="1"/>
      <c r="M20" s="1"/>
      <c r="N20" s="1"/>
      <c r="O20" s="1"/>
      <c r="P20" s="1"/>
      <c r="Q20" s="1"/>
      <c r="R20" s="1"/>
    </row>
    <row r="21" spans="1:18" x14ac:dyDescent="0.2">
      <c r="A21" s="1"/>
      <c r="B21" s="49" t="s">
        <v>283</v>
      </c>
      <c r="C21" s="88">
        <v>236981.63</v>
      </c>
      <c r="D21" s="94">
        <v>576522.39</v>
      </c>
      <c r="E21" s="97">
        <v>0.154</v>
      </c>
      <c r="F21" s="89">
        <v>1.25</v>
      </c>
      <c r="G21" s="89">
        <v>446772.78</v>
      </c>
      <c r="H21" s="90">
        <v>0</v>
      </c>
      <c r="I21" s="89">
        <v>0</v>
      </c>
      <c r="J21" s="110">
        <v>-0.22500000000000001</v>
      </c>
      <c r="K21" s="1"/>
      <c r="L21" s="1"/>
      <c r="M21" s="1"/>
      <c r="N21" s="1"/>
      <c r="O21" s="1"/>
      <c r="P21" s="1"/>
      <c r="Q21" s="1"/>
      <c r="R21" s="1"/>
    </row>
    <row r="22" spans="1:18" x14ac:dyDescent="0.2">
      <c r="A22" s="1"/>
      <c r="B22" s="49" t="s">
        <v>284</v>
      </c>
      <c r="C22" s="80">
        <v>274590.28999999998</v>
      </c>
      <c r="D22" s="89">
        <v>401811.72</v>
      </c>
      <c r="E22" s="97">
        <v>0.26700000000000002</v>
      </c>
      <c r="F22" s="89">
        <v>4.75</v>
      </c>
      <c r="G22" s="89">
        <v>539944.17000000004</v>
      </c>
      <c r="H22" s="90">
        <v>0</v>
      </c>
      <c r="I22" s="89">
        <v>0</v>
      </c>
      <c r="J22" s="110">
        <v>0.34399999999999997</v>
      </c>
      <c r="K22" s="1"/>
      <c r="L22" s="1"/>
      <c r="M22" s="1"/>
      <c r="N22" s="1"/>
      <c r="O22" s="1"/>
      <c r="P22" s="1"/>
      <c r="Q22" s="1"/>
      <c r="R22" s="1"/>
    </row>
    <row r="23" spans="1:18" x14ac:dyDescent="0.2">
      <c r="A23" s="1"/>
      <c r="B23" s="49" t="s">
        <v>285</v>
      </c>
      <c r="C23" s="80">
        <v>184189.86</v>
      </c>
      <c r="D23" s="89">
        <v>381765.72</v>
      </c>
      <c r="E23" s="97">
        <v>0</v>
      </c>
      <c r="F23" s="89">
        <v>0</v>
      </c>
      <c r="G23" s="89">
        <v>311177.36</v>
      </c>
      <c r="H23" s="90">
        <v>0</v>
      </c>
      <c r="I23" s="89">
        <v>0</v>
      </c>
      <c r="J23" s="110">
        <v>-0.185</v>
      </c>
      <c r="K23" s="1"/>
      <c r="L23" s="1"/>
      <c r="M23" s="1"/>
      <c r="N23" s="1"/>
      <c r="O23" s="1"/>
      <c r="P23" s="1"/>
      <c r="Q23" s="1"/>
      <c r="R23" s="1"/>
    </row>
    <row r="24" spans="1:18" x14ac:dyDescent="0.2">
      <c r="A24" s="1"/>
      <c r="B24" s="49" t="s">
        <v>286</v>
      </c>
      <c r="C24" s="88">
        <v>232820.45</v>
      </c>
      <c r="D24" s="89">
        <v>455369.12</v>
      </c>
      <c r="E24" s="97">
        <v>0.13700000000000001</v>
      </c>
      <c r="F24" s="89">
        <v>0.75</v>
      </c>
      <c r="G24" s="89">
        <v>408075.11</v>
      </c>
      <c r="H24" s="90">
        <v>0</v>
      </c>
      <c r="I24" s="89">
        <v>0</v>
      </c>
      <c r="J24" s="110">
        <v>-0.104</v>
      </c>
      <c r="K24" s="1"/>
      <c r="L24" s="1"/>
      <c r="M24" s="1"/>
      <c r="N24" s="1"/>
      <c r="O24" s="1"/>
      <c r="P24" s="1"/>
      <c r="Q24" s="1"/>
      <c r="R24" s="1"/>
    </row>
    <row r="25" spans="1:18" ht="17" thickBot="1" x14ac:dyDescent="0.25">
      <c r="A25" s="1"/>
      <c r="B25" s="53" t="s">
        <v>287</v>
      </c>
      <c r="C25" s="99">
        <v>268653.2</v>
      </c>
      <c r="D25" s="102">
        <v>402307.92</v>
      </c>
      <c r="E25" s="111">
        <v>0.31</v>
      </c>
      <c r="F25" s="102">
        <v>0</v>
      </c>
      <c r="G25" s="102">
        <v>485154.87</v>
      </c>
      <c r="H25" s="101">
        <v>0</v>
      </c>
      <c r="I25" s="102">
        <v>0</v>
      </c>
      <c r="J25" s="112">
        <v>0.20599999999999999</v>
      </c>
      <c r="K25" s="1"/>
      <c r="L25" s="1"/>
      <c r="M25" s="1"/>
      <c r="N25" s="1"/>
      <c r="O25" s="1"/>
      <c r="P25" s="1"/>
      <c r="Q25" s="1"/>
      <c r="R25" s="1"/>
    </row>
  </sheetData>
  <mergeCells count="9">
    <mergeCell ref="D18:F18"/>
    <mergeCell ref="G18:J18"/>
    <mergeCell ref="D5:I5"/>
    <mergeCell ref="K5:P5"/>
    <mergeCell ref="D17:I17"/>
    <mergeCell ref="K6:M6"/>
    <mergeCell ref="N6:P6"/>
    <mergeCell ref="D6:F6"/>
    <mergeCell ref="G6:I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Regneark</vt:lpstr>
      </vt:variant>
      <vt:variant>
        <vt:i4>5</vt:i4>
      </vt:variant>
    </vt:vector>
  </HeadingPairs>
  <TitlesOfParts>
    <vt:vector size="5" baseType="lpstr">
      <vt:lpstr>ALNS</vt:lpstr>
      <vt:lpstr>Gurobi</vt:lpstr>
      <vt:lpstr>PFB</vt:lpstr>
      <vt:lpstr>Comparison</vt:lpstr>
      <vt:lpstr>Impact of Weather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Ida Helene Lie Sandbæk</dc:creator>
  <cp:lastModifiedBy>Ida Helene Lie Sandbæk</cp:lastModifiedBy>
  <dcterms:created xsi:type="dcterms:W3CDTF">2026-10-02T17:43:39Z</dcterms:created>
  <dcterms:modified xsi:type="dcterms:W3CDTF">2026-10-03T07:57:37Z</dcterms:modified>
</cp:coreProperties>
</file>